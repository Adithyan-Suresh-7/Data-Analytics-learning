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E80DE056-3578-423A-8AAF-E6FEB44F6ABE}" xr6:coauthVersionLast="47" xr6:coauthVersionMax="47" xr10:uidLastSave="{00000000-0000-0000-0000-000000000000}"/>
  <bookViews>
    <workbookView xWindow="-108" yWindow="-108" windowWidth="23256" windowHeight="12456" xr2:uid="{B04E4996-9732-4E0B-BAEF-5BCF43D5F777}"/>
  </bookViews>
  <sheets>
    <sheet name="basic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B21" i="1"/>
  <c r="F29" i="1"/>
  <c r="F31" i="1"/>
  <c r="F33" i="1"/>
  <c r="F35" i="1"/>
  <c r="D47" i="1"/>
  <c r="D48" i="1"/>
  <c r="D49" i="1"/>
  <c r="H49" i="1"/>
  <c r="D50" i="1"/>
  <c r="H50" i="1"/>
  <c r="D51" i="1"/>
  <c r="H51" i="1"/>
  <c r="D52" i="1"/>
  <c r="D53" i="1"/>
  <c r="D54" i="1"/>
  <c r="D55" i="1"/>
  <c r="D56" i="1"/>
  <c r="D57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G83" i="1"/>
  <c r="H83" i="1"/>
  <c r="I83" i="1"/>
  <c r="G85" i="1"/>
</calcChain>
</file>

<file path=xl/sharedStrings.xml><?xml version="1.0" encoding="utf-8"?>
<sst xmlns="http://schemas.openxmlformats.org/spreadsheetml/2006/main" count="54" uniqueCount="53">
  <si>
    <t xml:space="preserve">Grand Total </t>
  </si>
  <si>
    <t>TOTAL</t>
  </si>
  <si>
    <t>parakad</t>
  </si>
  <si>
    <t>wayandu</t>
  </si>
  <si>
    <t>Boat house</t>
  </si>
  <si>
    <t>allepy</t>
  </si>
  <si>
    <t xml:space="preserve">Sea side </t>
  </si>
  <si>
    <t>kollam beach</t>
  </si>
  <si>
    <t>cliff palaze</t>
  </si>
  <si>
    <t>varkala</t>
  </si>
  <si>
    <t>top view</t>
  </si>
  <si>
    <t>wagamon</t>
  </si>
  <si>
    <t>hill top</t>
  </si>
  <si>
    <t>munnar</t>
  </si>
  <si>
    <t>food expence</t>
  </si>
  <si>
    <t>hotel cost</t>
  </si>
  <si>
    <t>Travel Expence</t>
  </si>
  <si>
    <t xml:space="preserve">Hotel Name </t>
  </si>
  <si>
    <t>Return data</t>
  </si>
  <si>
    <t xml:space="preserve">departure date </t>
  </si>
  <si>
    <t>destination</t>
  </si>
  <si>
    <t>s.no</t>
  </si>
  <si>
    <t>Mixed Reference</t>
  </si>
  <si>
    <t xml:space="preserve">1 USD  = </t>
  </si>
  <si>
    <t>INR</t>
  </si>
  <si>
    <t xml:space="preserve">USD </t>
  </si>
  <si>
    <t xml:space="preserve"> total </t>
  </si>
  <si>
    <t xml:space="preserve">cell 2 </t>
  </si>
  <si>
    <t xml:space="preserve">cell 1 </t>
  </si>
  <si>
    <t>ABSOLUTE REFERENCE</t>
  </si>
  <si>
    <t xml:space="preserve">/ </t>
  </si>
  <si>
    <t>-</t>
  </si>
  <si>
    <t xml:space="preserve">X </t>
  </si>
  <si>
    <t>+</t>
  </si>
  <si>
    <t xml:space="preserve">answer </t>
  </si>
  <si>
    <t>cell 1</t>
  </si>
  <si>
    <t>REFERENCING CELLS</t>
  </si>
  <si>
    <r>
      <rPr>
        <b/>
        <sz val="12"/>
        <color rgb="FFFFFF00"/>
        <rFont val="Aptos Narrow"/>
        <family val="2"/>
        <scheme val="minor"/>
      </rPr>
      <t>C19</t>
    </r>
    <r>
      <rPr>
        <sz val="12"/>
        <color theme="1"/>
        <rFont val="Aptos Narrow"/>
        <family val="2"/>
        <scheme val="minor"/>
      </rPr>
      <t xml:space="preserve">  reffer the</t>
    </r>
    <r>
      <rPr>
        <sz val="12"/>
        <color rgb="FF00B0F0"/>
        <rFont val="Aptos Narrow"/>
        <family val="2"/>
        <scheme val="minor"/>
      </rPr>
      <t xml:space="preserve">  C 23</t>
    </r>
    <r>
      <rPr>
        <sz val="12"/>
        <color theme="1"/>
        <rFont val="Aptos Narrow"/>
        <family val="2"/>
        <scheme val="minor"/>
      </rPr>
      <t xml:space="preserve"> , if we change</t>
    </r>
    <r>
      <rPr>
        <sz val="12"/>
        <color rgb="FFFFFF00"/>
        <rFont val="Aptos Narrow"/>
        <family val="2"/>
        <scheme val="minor"/>
      </rPr>
      <t xml:space="preserve"> C19</t>
    </r>
    <r>
      <rPr>
        <sz val="12"/>
        <color theme="1"/>
        <rFont val="Aptos Narrow"/>
        <family val="2"/>
        <scheme val="minor"/>
      </rPr>
      <t xml:space="preserve"> , </t>
    </r>
    <r>
      <rPr>
        <sz val="12"/>
        <color rgb="FF00B0F0"/>
        <rFont val="Aptos Narrow"/>
        <family val="2"/>
        <scheme val="minor"/>
      </rPr>
      <t>C23</t>
    </r>
    <r>
      <rPr>
        <sz val="12"/>
        <color theme="1"/>
        <rFont val="Aptos Narrow"/>
        <family val="2"/>
        <scheme val="minor"/>
      </rPr>
      <t xml:space="preserve">  will also change </t>
    </r>
  </si>
  <si>
    <t xml:space="preserve">adhi </t>
  </si>
  <si>
    <t xml:space="preserve">TOTAL </t>
  </si>
  <si>
    <t>landpark</t>
  </si>
  <si>
    <t>uk</t>
  </si>
  <si>
    <t>hill view</t>
  </si>
  <si>
    <t xml:space="preserve">Kerala </t>
  </si>
  <si>
    <t>Hill top</t>
  </si>
  <si>
    <t>Goa</t>
  </si>
  <si>
    <t xml:space="preserve">Total </t>
  </si>
  <si>
    <t>Hotel cost</t>
  </si>
  <si>
    <t>Flight Ticket</t>
  </si>
  <si>
    <t>Return date</t>
  </si>
  <si>
    <t xml:space="preserve">Depature Date </t>
  </si>
  <si>
    <t xml:space="preserve">Destination 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</si>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</sst>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&quot;₹&quot;\ #,##0.00"/>
    <numFmt numFmtId="166" formatCode="_-[$$-409]* #,##0.00_ ;_-[$$-409]* \-#,##0.00\ ;_-[$$-409]* &quot;-&quot;??_ ;_-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FFFF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5" borderId="0" xfId="0" applyFont="1" applyFill="1" applyAlignment="1">
      <alignment horizontal="center"/>
    </xf>
    <xf numFmtId="2" fontId="0" fillId="6" borderId="0" xfId="0" applyNumberFormat="1" applyFill="1"/>
    <xf numFmtId="165" fontId="0" fillId="6" borderId="0" xfId="0" applyNumberFormat="1" applyFill="1"/>
    <xf numFmtId="0" fontId="0" fillId="7" borderId="7" xfId="0" applyFill="1" applyBorder="1" applyAlignment="1">
      <alignment horizontal="center"/>
    </xf>
    <xf numFmtId="166" fontId="0" fillId="7" borderId="8" xfId="0" applyNumberFormat="1" applyFill="1" applyBorder="1" applyAlignment="1">
      <alignment horizontal="center"/>
    </xf>
    <xf numFmtId="166" fontId="0" fillId="7" borderId="9" xfId="0" applyNumberForma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166" fontId="0" fillId="0" borderId="4" xfId="0" applyNumberFormat="1" applyBorder="1"/>
    <xf numFmtId="0" fontId="0" fillId="7" borderId="12" xfId="0" applyFill="1" applyBorder="1" applyAlignment="1">
      <alignment horizontal="center"/>
    </xf>
    <xf numFmtId="0" fontId="0" fillId="8" borderId="0" xfId="0" applyFill="1"/>
    <xf numFmtId="0" fontId="0" fillId="0" borderId="4" xfId="0" applyBorder="1"/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1" borderId="0" xfId="0" applyFont="1" applyFill="1" applyAlignment="1">
      <alignment horizontal="center"/>
    </xf>
    <xf numFmtId="0" fontId="0" fillId="12" borderId="0" xfId="0" applyFill="1"/>
    <xf numFmtId="0" fontId="8" fillId="13" borderId="0" xfId="0" applyFont="1" applyFill="1" applyAlignment="1">
      <alignment horizontal="left" vertical="top" wrapText="1"/>
    </xf>
    <xf numFmtId="0" fontId="0" fillId="2" borderId="0" xfId="0" applyFill="1"/>
    <xf numFmtId="165" fontId="0" fillId="0" borderId="4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vertical="top"/>
    </xf>
    <xf numFmtId="14" fontId="0" fillId="0" borderId="4" xfId="0" applyNumberFormat="1" applyBorder="1" applyAlignment="1">
      <alignment vertical="top"/>
    </xf>
    <xf numFmtId="0" fontId="0" fillId="0" borderId="0" xfId="0" applyAlignment="1">
      <alignment horizontal="center"/>
    </xf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14" fontId="1" fillId="0" borderId="4" xfId="0" applyNumberFormat="1" applyFont="1" applyBorder="1" applyAlignment="1">
      <alignment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8A24-4F5F-469D-BA11-F529E152C463}">
  <dimension ref="A4:M85"/>
  <sheetViews>
    <sheetView tabSelected="1" zoomScale="52" zoomScaleNormal="65" workbookViewId="0">
      <selection activeCell="G17" sqref="G17"/>
    </sheetView>
  </sheetViews>
  <sheetFormatPr defaultRowHeight="14.4" x14ac:dyDescent="0.3"/>
  <cols>
    <col min="1" max="1" width="6.77734375" bestFit="1" customWidth="1"/>
    <col min="2" max="2" width="10.21875" bestFit="1" customWidth="1"/>
    <col min="3" max="3" width="16" bestFit="1" customWidth="1"/>
    <col min="4" max="4" width="19.88671875" bestFit="1" customWidth="1"/>
    <col min="5" max="5" width="15.77734375" bestFit="1" customWidth="1"/>
    <col min="6" max="6" width="16.44140625" bestFit="1" customWidth="1"/>
    <col min="7" max="7" width="18" bestFit="1" customWidth="1"/>
    <col min="8" max="8" width="16.44140625" bestFit="1" customWidth="1"/>
    <col min="9" max="9" width="16.33203125" bestFit="1" customWidth="1"/>
    <col min="10" max="10" width="7.109375" bestFit="1" customWidth="1"/>
    <col min="11" max="11" width="8" bestFit="1" customWidth="1"/>
    <col min="12" max="12" width="14.44140625" bestFit="1" customWidth="1"/>
    <col min="13" max="13" width="17.44140625" bestFit="1" customWidth="1"/>
    <col min="14" max="14" width="13.77734375" bestFit="1" customWidth="1"/>
    <col min="15" max="15" width="14.44140625" bestFit="1" customWidth="1"/>
    <col min="16" max="16" width="17.88671875" bestFit="1" customWidth="1"/>
    <col min="17" max="17" width="14.21875" bestFit="1" customWidth="1"/>
    <col min="18" max="18" width="16.21875" bestFit="1" customWidth="1"/>
    <col min="19" max="19" width="15.77734375" bestFit="1" customWidth="1"/>
  </cols>
  <sheetData>
    <row r="4" spans="1:9" x14ac:dyDescent="0.3">
      <c r="D4" s="61"/>
      <c r="H4" s="60"/>
    </row>
    <row r="5" spans="1:9" x14ac:dyDescent="0.3">
      <c r="A5" s="56"/>
      <c r="B5" s="58" t="s">
        <v>52</v>
      </c>
      <c r="C5" s="58" t="s">
        <v>51</v>
      </c>
      <c r="D5" s="59" t="s">
        <v>50</v>
      </c>
      <c r="E5" s="58" t="s">
        <v>49</v>
      </c>
      <c r="F5" s="57" t="s">
        <v>48</v>
      </c>
      <c r="G5" s="58" t="s">
        <v>47</v>
      </c>
      <c r="H5" s="57" t="s">
        <v>46</v>
      </c>
      <c r="I5" s="56"/>
    </row>
    <row r="6" spans="1:9" x14ac:dyDescent="0.3">
      <c r="B6" s="54">
        <v>1</v>
      </c>
      <c r="C6" s="54" t="s">
        <v>45</v>
      </c>
      <c r="D6" s="55">
        <v>46032</v>
      </c>
      <c r="E6" s="55">
        <v>46042</v>
      </c>
      <c r="F6" s="50">
        <v>5000</v>
      </c>
      <c r="G6" s="54" t="s">
        <v>44</v>
      </c>
      <c r="H6" s="50">
        <v>10000</v>
      </c>
    </row>
    <row r="7" spans="1:9" x14ac:dyDescent="0.3">
      <c r="B7" s="54">
        <v>2</v>
      </c>
      <c r="C7" s="54" t="s">
        <v>43</v>
      </c>
      <c r="D7" s="55">
        <v>46043</v>
      </c>
      <c r="E7" s="55">
        <v>46052</v>
      </c>
      <c r="F7" s="50">
        <v>4000</v>
      </c>
      <c r="G7" s="54" t="s">
        <v>42</v>
      </c>
      <c r="H7" s="50">
        <v>20000</v>
      </c>
    </row>
    <row r="8" spans="1:9" x14ac:dyDescent="0.3">
      <c r="B8" s="54">
        <v>3</v>
      </c>
      <c r="C8" s="54" t="s">
        <v>41</v>
      </c>
      <c r="D8" s="55">
        <v>46074</v>
      </c>
      <c r="E8" s="55">
        <v>46096</v>
      </c>
      <c r="F8" s="50">
        <v>52000</v>
      </c>
      <c r="G8" s="54" t="s">
        <v>40</v>
      </c>
      <c r="H8" s="50">
        <v>1000000</v>
      </c>
    </row>
    <row r="9" spans="1:9" x14ac:dyDescent="0.3">
      <c r="B9" s="54">
        <v>4</v>
      </c>
      <c r="C9" s="54"/>
      <c r="D9" s="55"/>
      <c r="E9" s="54"/>
      <c r="F9" s="50"/>
      <c r="G9" s="54"/>
      <c r="H9" s="50"/>
    </row>
    <row r="10" spans="1:9" x14ac:dyDescent="0.3">
      <c r="B10" s="54">
        <v>5</v>
      </c>
      <c r="C10" s="54"/>
      <c r="D10" s="55"/>
      <c r="E10" s="54"/>
      <c r="F10" s="50"/>
      <c r="G10" s="54"/>
      <c r="H10" s="50"/>
    </row>
    <row r="11" spans="1:9" x14ac:dyDescent="0.3">
      <c r="B11" s="54">
        <v>6</v>
      </c>
      <c r="C11" s="54"/>
      <c r="D11" s="55"/>
      <c r="E11" s="54"/>
      <c r="F11" s="50"/>
      <c r="G11" s="54"/>
      <c r="H11" s="50"/>
    </row>
    <row r="12" spans="1:9" x14ac:dyDescent="0.3">
      <c r="B12" s="54">
        <v>7</v>
      </c>
      <c r="C12" s="54"/>
      <c r="D12" s="55"/>
      <c r="E12" s="54"/>
      <c r="F12" s="50"/>
      <c r="G12" s="54"/>
      <c r="H12" s="50"/>
    </row>
    <row r="13" spans="1:9" x14ac:dyDescent="0.3">
      <c r="B13" s="54">
        <v>8</v>
      </c>
      <c r="C13" s="54"/>
      <c r="D13" s="55"/>
      <c r="E13" s="54"/>
      <c r="F13" s="50"/>
      <c r="G13" s="54"/>
      <c r="H13" s="50"/>
    </row>
    <row r="14" spans="1:9" x14ac:dyDescent="0.3">
      <c r="B14" s="54">
        <v>9</v>
      </c>
      <c r="C14" s="54"/>
      <c r="D14" s="55"/>
      <c r="E14" s="54"/>
      <c r="F14" s="54"/>
      <c r="G14" s="54"/>
      <c r="H14" s="50"/>
    </row>
    <row r="15" spans="1:9" x14ac:dyDescent="0.3">
      <c r="B15" s="54">
        <v>10</v>
      </c>
      <c r="C15" s="53" t="s">
        <v>39</v>
      </c>
      <c r="D15" s="52"/>
      <c r="E15" s="52"/>
      <c r="F15" s="52"/>
      <c r="G15" s="51"/>
      <c r="H15" s="50">
        <f>$H6+H7+H8</f>
        <v>1030000</v>
      </c>
    </row>
    <row r="17" spans="1:6" x14ac:dyDescent="0.3">
      <c r="B17" s="49" t="s">
        <v>38</v>
      </c>
    </row>
    <row r="18" spans="1:6" x14ac:dyDescent="0.3">
      <c r="C18" s="48" t="s">
        <v>37</v>
      </c>
      <c r="D18" s="48"/>
      <c r="E18" s="48"/>
    </row>
    <row r="19" spans="1:6" x14ac:dyDescent="0.3">
      <c r="C19" s="48"/>
      <c r="D19" s="48"/>
      <c r="E19" s="48"/>
    </row>
    <row r="20" spans="1:6" x14ac:dyDescent="0.3">
      <c r="C20" s="48"/>
      <c r="D20" s="48"/>
      <c r="E20" s="48"/>
    </row>
    <row r="21" spans="1:6" x14ac:dyDescent="0.3">
      <c r="B21" s="47" t="str">
        <f>B17</f>
        <v xml:space="preserve">adhi </v>
      </c>
    </row>
    <row r="24" spans="1:6" ht="23.4" x14ac:dyDescent="0.45">
      <c r="B24" s="46" t="s">
        <v>36</v>
      </c>
      <c r="C24" s="46"/>
      <c r="D24" s="46"/>
      <c r="E24" s="46"/>
      <c r="F24" s="46"/>
    </row>
    <row r="26" spans="1:6" x14ac:dyDescent="0.3">
      <c r="A26" s="43"/>
      <c r="B26" s="43"/>
      <c r="C26" s="43"/>
      <c r="D26" s="43"/>
      <c r="E26" s="43"/>
      <c r="F26" s="43"/>
    </row>
    <row r="27" spans="1:6" ht="21" x14ac:dyDescent="0.3">
      <c r="A27" s="45"/>
      <c r="B27" s="44" t="s">
        <v>35</v>
      </c>
      <c r="C27" s="44"/>
      <c r="D27" s="44" t="s">
        <v>27</v>
      </c>
      <c r="E27" s="44"/>
      <c r="F27" s="44" t="s">
        <v>34</v>
      </c>
    </row>
    <row r="28" spans="1:6" x14ac:dyDescent="0.3">
      <c r="A28" s="43"/>
      <c r="B28" s="7"/>
      <c r="C28" s="7"/>
      <c r="D28" s="7"/>
      <c r="E28" s="7"/>
      <c r="F28" s="7"/>
    </row>
    <row r="29" spans="1:6" x14ac:dyDescent="0.3">
      <c r="A29" s="43"/>
      <c r="B29" s="7">
        <v>19</v>
      </c>
      <c r="C29" s="7" t="s">
        <v>33</v>
      </c>
      <c r="D29" s="7">
        <v>20</v>
      </c>
      <c r="E29" s="7"/>
      <c r="F29" s="7">
        <f>B29+D29</f>
        <v>39</v>
      </c>
    </row>
    <row r="30" spans="1:6" x14ac:dyDescent="0.3">
      <c r="A30" s="43"/>
      <c r="B30" s="7"/>
      <c r="C30" s="7"/>
      <c r="D30" s="7"/>
      <c r="E30" s="7"/>
      <c r="F30" s="7"/>
    </row>
    <row r="31" spans="1:6" x14ac:dyDescent="0.3">
      <c r="A31" s="43"/>
      <c r="B31" s="7">
        <v>12</v>
      </c>
      <c r="C31" s="7" t="s">
        <v>32</v>
      </c>
      <c r="D31" s="7">
        <v>5</v>
      </c>
      <c r="E31" s="7"/>
      <c r="F31" s="7">
        <f>B31*D31</f>
        <v>60</v>
      </c>
    </row>
    <row r="32" spans="1:6" x14ac:dyDescent="0.3">
      <c r="A32" s="43"/>
      <c r="B32" s="7"/>
      <c r="C32" s="7"/>
      <c r="D32" s="7"/>
      <c r="E32" s="7"/>
      <c r="F32" s="7"/>
    </row>
    <row r="33" spans="1:9" x14ac:dyDescent="0.3">
      <c r="A33" s="43"/>
      <c r="B33" s="7">
        <v>15</v>
      </c>
      <c r="C33" s="7" t="s">
        <v>31</v>
      </c>
      <c r="D33" s="7">
        <v>5</v>
      </c>
      <c r="E33" s="7"/>
      <c r="F33" s="7">
        <f>B33-D33</f>
        <v>10</v>
      </c>
    </row>
    <row r="34" spans="1:9" x14ac:dyDescent="0.3">
      <c r="A34" s="43"/>
      <c r="B34" s="7"/>
      <c r="C34" s="7"/>
      <c r="D34" s="7"/>
      <c r="E34" s="7"/>
      <c r="F34" s="7"/>
    </row>
    <row r="35" spans="1:9" x14ac:dyDescent="0.3">
      <c r="A35" s="43"/>
      <c r="B35" s="7">
        <v>144</v>
      </c>
      <c r="C35" s="7" t="s">
        <v>30</v>
      </c>
      <c r="D35" s="7">
        <v>12</v>
      </c>
      <c r="E35" s="7"/>
      <c r="F35" s="7">
        <f>B35/D35</f>
        <v>12</v>
      </c>
    </row>
    <row r="36" spans="1:9" x14ac:dyDescent="0.3">
      <c r="A36" s="43"/>
      <c r="B36" s="43"/>
      <c r="C36" s="43"/>
      <c r="D36" s="43"/>
      <c r="E36" s="43"/>
      <c r="F36" s="43"/>
    </row>
    <row r="37" spans="1:9" x14ac:dyDescent="0.3">
      <c r="A37" s="43"/>
      <c r="B37" s="43"/>
      <c r="C37" s="43"/>
      <c r="D37" s="43"/>
      <c r="E37" s="43"/>
      <c r="F37" s="43"/>
    </row>
    <row r="38" spans="1:9" x14ac:dyDescent="0.3">
      <c r="A38" s="43"/>
      <c r="B38" s="43"/>
      <c r="C38" s="43"/>
      <c r="D38" s="43"/>
      <c r="E38" s="43"/>
      <c r="F38" s="43"/>
    </row>
    <row r="39" spans="1:9" x14ac:dyDescent="0.3">
      <c r="A39" s="43"/>
      <c r="B39" s="43"/>
      <c r="C39" s="43"/>
      <c r="D39" s="43"/>
      <c r="E39" s="43"/>
      <c r="F39" s="43"/>
    </row>
    <row r="40" spans="1:9" x14ac:dyDescent="0.3">
      <c r="A40" s="43"/>
      <c r="B40" s="43"/>
      <c r="C40" s="43"/>
      <c r="D40" s="43"/>
      <c r="E40" s="43"/>
      <c r="F40" s="43"/>
    </row>
    <row r="41" spans="1:9" x14ac:dyDescent="0.3">
      <c r="A41" s="43"/>
      <c r="B41" s="43"/>
      <c r="C41" s="43"/>
      <c r="D41" s="43"/>
      <c r="E41" s="43"/>
      <c r="F41" s="43"/>
    </row>
    <row r="42" spans="1:9" x14ac:dyDescent="0.3">
      <c r="A42" s="43"/>
      <c r="B42" s="43"/>
      <c r="C42" s="43"/>
      <c r="D42" s="43"/>
      <c r="E42" s="43"/>
      <c r="F42" s="43"/>
    </row>
    <row r="43" spans="1:9" x14ac:dyDescent="0.3">
      <c r="A43" s="43"/>
      <c r="B43" s="43"/>
      <c r="C43" s="43"/>
      <c r="D43" s="43"/>
      <c r="E43" s="43"/>
      <c r="F43" s="43"/>
    </row>
    <row r="44" spans="1:9" x14ac:dyDescent="0.3">
      <c r="A44" s="43"/>
      <c r="B44" s="43"/>
      <c r="C44" s="43"/>
      <c r="D44" s="43"/>
      <c r="E44" s="43"/>
      <c r="F44" s="43"/>
    </row>
    <row r="45" spans="1:9" ht="18" x14ac:dyDescent="0.35">
      <c r="F45" s="42" t="s">
        <v>29</v>
      </c>
      <c r="G45" s="42"/>
      <c r="H45" s="42"/>
      <c r="I45" s="42"/>
    </row>
    <row r="46" spans="1:9" ht="26.4" thickBot="1" x14ac:dyDescent="0.35">
      <c r="B46" s="41" t="s">
        <v>28</v>
      </c>
      <c r="C46" s="41" t="s">
        <v>27</v>
      </c>
      <c r="D46" s="41" t="s">
        <v>26</v>
      </c>
    </row>
    <row r="47" spans="1:9" x14ac:dyDescent="0.3">
      <c r="B47" s="7">
        <v>12</v>
      </c>
      <c r="C47" s="7">
        <v>25</v>
      </c>
      <c r="D47" s="7">
        <f>B47+C47</f>
        <v>37</v>
      </c>
      <c r="F47" s="40"/>
      <c r="G47" s="39"/>
      <c r="H47" s="38"/>
      <c r="I47" s="37"/>
    </row>
    <row r="48" spans="1:9" x14ac:dyDescent="0.3">
      <c r="B48" s="7">
        <v>15</v>
      </c>
      <c r="C48" s="7">
        <v>51</v>
      </c>
      <c r="D48" s="7">
        <f>B48+C48</f>
        <v>66</v>
      </c>
      <c r="F48" s="34"/>
      <c r="G48" s="36" t="s">
        <v>25</v>
      </c>
      <c r="H48" s="36" t="s">
        <v>24</v>
      </c>
      <c r="I48" s="32"/>
    </row>
    <row r="49" spans="1:13" x14ac:dyDescent="0.3">
      <c r="B49" s="7">
        <v>14</v>
      </c>
      <c r="C49" s="7">
        <v>23</v>
      </c>
      <c r="D49" s="7">
        <f>B49+C49</f>
        <v>37</v>
      </c>
      <c r="F49" s="34"/>
      <c r="G49" s="33">
        <v>2560</v>
      </c>
      <c r="H49" s="33">
        <f>G49*$H$55</f>
        <v>243200</v>
      </c>
      <c r="I49" s="32"/>
      <c r="M49" s="35"/>
    </row>
    <row r="50" spans="1:13" x14ac:dyDescent="0.3">
      <c r="B50" s="7">
        <v>15</v>
      </c>
      <c r="C50" s="7">
        <v>22</v>
      </c>
      <c r="D50" s="7">
        <f>B50+C50</f>
        <v>37</v>
      </c>
      <c r="F50" s="34"/>
      <c r="G50" s="33">
        <v>5633</v>
      </c>
      <c r="H50" s="33">
        <f>G50*$H$55</f>
        <v>535135</v>
      </c>
      <c r="I50" s="32"/>
    </row>
    <row r="51" spans="1:13" x14ac:dyDescent="0.3">
      <c r="B51" s="7">
        <v>16</v>
      </c>
      <c r="C51" s="7">
        <v>21</v>
      </c>
      <c r="D51" s="7">
        <f>B51+C51</f>
        <v>37</v>
      </c>
      <c r="F51" s="34"/>
      <c r="G51" s="33">
        <v>6533</v>
      </c>
      <c r="H51" s="33">
        <f>G51*$H$55</f>
        <v>620635</v>
      </c>
      <c r="I51" s="32"/>
    </row>
    <row r="52" spans="1:13" ht="15" thickBot="1" x14ac:dyDescent="0.35">
      <c r="B52" s="7">
        <v>52</v>
      </c>
      <c r="C52" s="7">
        <v>20</v>
      </c>
      <c r="D52" s="7">
        <f>B52+C52</f>
        <v>72</v>
      </c>
      <c r="F52" s="31"/>
      <c r="G52" s="30"/>
      <c r="H52" s="29"/>
      <c r="I52" s="28"/>
    </row>
    <row r="53" spans="1:13" x14ac:dyDescent="0.3">
      <c r="B53" s="7">
        <v>56</v>
      </c>
      <c r="C53" s="7">
        <v>19</v>
      </c>
      <c r="D53" s="7">
        <f>B53+C53</f>
        <v>75</v>
      </c>
    </row>
    <row r="54" spans="1:13" x14ac:dyDescent="0.3">
      <c r="B54" s="7">
        <v>56</v>
      </c>
      <c r="C54" s="7">
        <v>18</v>
      </c>
      <c r="D54" s="7">
        <f>B54+C54</f>
        <v>74</v>
      </c>
    </row>
    <row r="55" spans="1:13" x14ac:dyDescent="0.3">
      <c r="B55" s="7">
        <v>85</v>
      </c>
      <c r="C55" s="7">
        <v>17</v>
      </c>
      <c r="D55" s="7">
        <f>B55+C55</f>
        <v>102</v>
      </c>
      <c r="G55" s="27" t="s">
        <v>23</v>
      </c>
      <c r="H55" s="26">
        <v>95</v>
      </c>
    </row>
    <row r="56" spans="1:13" x14ac:dyDescent="0.3">
      <c r="B56" s="7">
        <v>74</v>
      </c>
      <c r="C56" s="7">
        <v>16</v>
      </c>
      <c r="D56" s="7">
        <f>B56+C56</f>
        <v>90</v>
      </c>
    </row>
    <row r="57" spans="1:13" x14ac:dyDescent="0.3">
      <c r="B57" s="7">
        <v>22</v>
      </c>
      <c r="C57" s="7">
        <v>15</v>
      </c>
      <c r="D57" s="7">
        <f>B57+C57</f>
        <v>37</v>
      </c>
    </row>
    <row r="59" spans="1:13" ht="21" x14ac:dyDescent="0.4">
      <c r="B59" s="25" t="s">
        <v>22</v>
      </c>
      <c r="C59" s="25"/>
      <c r="D59" s="25"/>
      <c r="E59" s="25"/>
    </row>
    <row r="60" spans="1:13" x14ac:dyDescent="0.3">
      <c r="A60" s="24"/>
      <c r="B60" s="23"/>
    </row>
    <row r="61" spans="1:13" x14ac:dyDescent="0.3">
      <c r="B61" s="7">
        <v>1</v>
      </c>
      <c r="C61" s="7">
        <v>2</v>
      </c>
      <c r="D61" s="7">
        <v>3</v>
      </c>
      <c r="E61" s="7">
        <v>4</v>
      </c>
      <c r="F61" s="7">
        <v>5</v>
      </c>
      <c r="G61" s="7">
        <v>6</v>
      </c>
      <c r="H61" s="7">
        <v>7</v>
      </c>
      <c r="I61" s="7">
        <v>8</v>
      </c>
      <c r="J61" s="7">
        <v>9</v>
      </c>
      <c r="K61" s="7">
        <v>10</v>
      </c>
    </row>
    <row r="62" spans="1:13" x14ac:dyDescent="0.3">
      <c r="A62" s="7">
        <v>1</v>
      </c>
      <c r="B62" s="7">
        <f>$A62*B$61</f>
        <v>1</v>
      </c>
      <c r="C62" s="7">
        <f>$A62*C$61</f>
        <v>2</v>
      </c>
      <c r="D62" s="7">
        <f>$A62*D$61</f>
        <v>3</v>
      </c>
      <c r="E62" s="7">
        <f>$A62*E$61</f>
        <v>4</v>
      </c>
      <c r="F62" s="7">
        <f>$A62*F$61</f>
        <v>5</v>
      </c>
      <c r="G62" s="7">
        <f>$A62*G$61</f>
        <v>6</v>
      </c>
      <c r="H62" s="7">
        <f>$A62*H$61</f>
        <v>7</v>
      </c>
      <c r="I62" s="7">
        <f>$A62*I$61</f>
        <v>8</v>
      </c>
      <c r="J62" s="7">
        <f>$A62*J$61</f>
        <v>9</v>
      </c>
      <c r="K62" s="7">
        <f>$A62*K$61</f>
        <v>10</v>
      </c>
    </row>
    <row r="63" spans="1:13" x14ac:dyDescent="0.3">
      <c r="A63" s="7">
        <v>2</v>
      </c>
      <c r="B63" s="7">
        <f>$A63*B$61</f>
        <v>2</v>
      </c>
      <c r="C63" s="7">
        <f>$A63*C$61</f>
        <v>4</v>
      </c>
      <c r="D63" s="7">
        <f>$A63*D$61</f>
        <v>6</v>
      </c>
      <c r="E63" s="7">
        <f>$A63*E$61</f>
        <v>8</v>
      </c>
      <c r="F63" s="7">
        <f>$A63*F$61</f>
        <v>10</v>
      </c>
      <c r="G63" s="7">
        <f>$A63*G$61</f>
        <v>12</v>
      </c>
      <c r="H63" s="7">
        <f>$A63*H$61</f>
        <v>14</v>
      </c>
      <c r="I63" s="7">
        <f>$A63*I$61</f>
        <v>16</v>
      </c>
      <c r="J63" s="7">
        <f>$A63*J$61</f>
        <v>18</v>
      </c>
      <c r="K63" s="7">
        <f>$A63*K$61</f>
        <v>20</v>
      </c>
    </row>
    <row r="64" spans="1:13" x14ac:dyDescent="0.3">
      <c r="A64" s="7">
        <v>3</v>
      </c>
      <c r="B64" s="7">
        <f>$A64*B$61</f>
        <v>3</v>
      </c>
      <c r="C64" s="7">
        <f>$A64*C$61</f>
        <v>6</v>
      </c>
      <c r="D64" s="7">
        <f>$A64*D$61</f>
        <v>9</v>
      </c>
      <c r="E64" s="7">
        <f>$A64*E$61</f>
        <v>12</v>
      </c>
      <c r="F64" s="7">
        <f>$A64*F$61</f>
        <v>15</v>
      </c>
      <c r="G64" s="7">
        <f>$A64*G$61</f>
        <v>18</v>
      </c>
      <c r="H64" s="7">
        <f>$A64*H$61</f>
        <v>21</v>
      </c>
      <c r="I64" s="7">
        <f>$A64*I$61</f>
        <v>24</v>
      </c>
      <c r="J64" s="7">
        <f>$A64*J$61</f>
        <v>27</v>
      </c>
      <c r="K64" s="7">
        <f>$A64*K$61</f>
        <v>30</v>
      </c>
    </row>
    <row r="65" spans="1:11" x14ac:dyDescent="0.3">
      <c r="A65" s="7">
        <v>4</v>
      </c>
      <c r="B65" s="7">
        <f>$A65*B$61</f>
        <v>4</v>
      </c>
      <c r="C65" s="7">
        <f>$A65*C$61</f>
        <v>8</v>
      </c>
      <c r="D65" s="7">
        <f>$A65*D$61</f>
        <v>12</v>
      </c>
      <c r="E65" s="7">
        <f>$A65*E$61</f>
        <v>16</v>
      </c>
      <c r="F65" s="7">
        <f>$A65*F$61</f>
        <v>20</v>
      </c>
      <c r="G65" s="7">
        <f>$A65*G$61</f>
        <v>24</v>
      </c>
      <c r="H65" s="7">
        <f>$A65*H$61</f>
        <v>28</v>
      </c>
      <c r="I65" s="7">
        <f>$A65*I$61</f>
        <v>32</v>
      </c>
      <c r="J65" s="7">
        <f>$A65*J$61</f>
        <v>36</v>
      </c>
      <c r="K65" s="7">
        <f>$A65*K$61</f>
        <v>40</v>
      </c>
    </row>
    <row r="66" spans="1:11" x14ac:dyDescent="0.3">
      <c r="A66" s="7">
        <v>5</v>
      </c>
      <c r="B66" s="7">
        <f>$A66*B$61</f>
        <v>5</v>
      </c>
      <c r="C66" s="7">
        <f>$A66*C$61</f>
        <v>10</v>
      </c>
      <c r="D66" s="7">
        <f>$A66*D$61</f>
        <v>15</v>
      </c>
      <c r="E66" s="7">
        <f>$A66*E$61</f>
        <v>20</v>
      </c>
      <c r="F66" s="7">
        <f>$A66*F$61</f>
        <v>25</v>
      </c>
      <c r="G66" s="7">
        <f>$A66*G$61</f>
        <v>30</v>
      </c>
      <c r="H66" s="7">
        <f>$A66*H$61</f>
        <v>35</v>
      </c>
      <c r="I66" s="7">
        <f>$A66*I$61</f>
        <v>40</v>
      </c>
      <c r="J66" s="7">
        <f>$A66*J$61</f>
        <v>45</v>
      </c>
      <c r="K66" s="7">
        <f>$A66*K$61</f>
        <v>50</v>
      </c>
    </row>
    <row r="67" spans="1:11" x14ac:dyDescent="0.3">
      <c r="A67" s="7">
        <v>6</v>
      </c>
      <c r="B67" s="7">
        <f>$A67*B$61</f>
        <v>6</v>
      </c>
      <c r="C67" s="7">
        <f>$A67*C$61</f>
        <v>12</v>
      </c>
      <c r="D67" s="7">
        <f>$A67*D$61</f>
        <v>18</v>
      </c>
      <c r="E67" s="7">
        <f>$A67*E$61</f>
        <v>24</v>
      </c>
      <c r="F67" s="7">
        <f>$A67*F$61</f>
        <v>30</v>
      </c>
      <c r="G67" s="7">
        <f>$A67*G$61</f>
        <v>36</v>
      </c>
      <c r="H67" s="7">
        <f>$A67*H$61</f>
        <v>42</v>
      </c>
      <c r="I67" s="7">
        <f>$A67*I$61</f>
        <v>48</v>
      </c>
      <c r="J67" s="7">
        <f>$A67*J$61</f>
        <v>54</v>
      </c>
      <c r="K67" s="7">
        <f>$A67*K$61</f>
        <v>60</v>
      </c>
    </row>
    <row r="68" spans="1:11" x14ac:dyDescent="0.3">
      <c r="A68" s="7">
        <v>7</v>
      </c>
      <c r="B68" s="7">
        <f>$A68*B$61</f>
        <v>7</v>
      </c>
      <c r="C68" s="7">
        <f>$A68*C$61</f>
        <v>14</v>
      </c>
      <c r="D68" s="7">
        <f>$A68*D$61</f>
        <v>21</v>
      </c>
      <c r="E68" s="7">
        <f>$A68*E$61</f>
        <v>28</v>
      </c>
      <c r="F68" s="7">
        <f>$A68*F$61</f>
        <v>35</v>
      </c>
      <c r="G68" s="7">
        <f>$A68*G$61</f>
        <v>42</v>
      </c>
      <c r="H68" s="7">
        <f>$A68*H$61</f>
        <v>49</v>
      </c>
      <c r="I68" s="7">
        <f>$A68*I$61</f>
        <v>56</v>
      </c>
      <c r="J68" s="7">
        <f>$A68*J$61</f>
        <v>63</v>
      </c>
      <c r="K68" s="7">
        <f>$A68*K$61</f>
        <v>70</v>
      </c>
    </row>
    <row r="69" spans="1:11" x14ac:dyDescent="0.3">
      <c r="A69" s="7">
        <v>8</v>
      </c>
      <c r="B69" s="7">
        <f>$A69*B$61</f>
        <v>8</v>
      </c>
      <c r="C69" s="7">
        <f>$A69*C$61</f>
        <v>16</v>
      </c>
      <c r="D69" s="7">
        <f>$A69*D$61</f>
        <v>24</v>
      </c>
      <c r="E69" s="7">
        <f>$A69*E$61</f>
        <v>32</v>
      </c>
      <c r="F69" s="7">
        <f>$A69*F$61</f>
        <v>40</v>
      </c>
      <c r="G69" s="7">
        <f>$A69*G$61</f>
        <v>48</v>
      </c>
      <c r="H69" s="7">
        <f>$A69*H$61</f>
        <v>56</v>
      </c>
      <c r="I69" s="7">
        <f>$A69*I$61</f>
        <v>64</v>
      </c>
      <c r="J69" s="7">
        <f>$A69*J$61</f>
        <v>72</v>
      </c>
      <c r="K69" s="7">
        <f>$A69*K$61</f>
        <v>80</v>
      </c>
    </row>
    <row r="70" spans="1:11" x14ac:dyDescent="0.3">
      <c r="A70" s="7">
        <v>9</v>
      </c>
      <c r="B70" s="7">
        <f>$A70*B$61</f>
        <v>9</v>
      </c>
      <c r="C70" s="7">
        <f>$A70*C$61</f>
        <v>18</v>
      </c>
      <c r="D70" s="7">
        <f>$A70*D$61</f>
        <v>27</v>
      </c>
      <c r="E70" s="7">
        <f>$A70*E$61</f>
        <v>36</v>
      </c>
      <c r="F70" s="7">
        <f>$A70*F$61</f>
        <v>45</v>
      </c>
      <c r="G70" s="7">
        <f>$A70*G$61</f>
        <v>54</v>
      </c>
      <c r="H70" s="7">
        <f>$A70*H$61</f>
        <v>63</v>
      </c>
      <c r="I70" s="7">
        <f>$A70*I$61</f>
        <v>72</v>
      </c>
      <c r="J70" s="7">
        <f>$A70*J$61</f>
        <v>81</v>
      </c>
      <c r="K70" s="7">
        <f>$A70*K$61</f>
        <v>90</v>
      </c>
    </row>
    <row r="71" spans="1:11" x14ac:dyDescent="0.3">
      <c r="A71" s="7">
        <v>10</v>
      </c>
      <c r="B71" s="7">
        <f>$A71*B$61</f>
        <v>10</v>
      </c>
      <c r="C71" s="7">
        <f>$A71*C$61</f>
        <v>20</v>
      </c>
      <c r="D71" s="7">
        <f>$A71*D$61</f>
        <v>30</v>
      </c>
      <c r="E71" s="7">
        <f>$A71*E$61</f>
        <v>40</v>
      </c>
      <c r="F71" s="7">
        <f>$A71*F$61</f>
        <v>50</v>
      </c>
      <c r="G71" s="7">
        <f>$A71*G$61</f>
        <v>60</v>
      </c>
      <c r="H71" s="7">
        <f>$A71*H$61</f>
        <v>70</v>
      </c>
      <c r="I71" s="7">
        <f>$A71*I$61</f>
        <v>80</v>
      </c>
      <c r="J71" s="7">
        <f>$A71*J$61</f>
        <v>90</v>
      </c>
      <c r="K71" s="7">
        <f>$A71*K$61</f>
        <v>100</v>
      </c>
    </row>
    <row r="75" spans="1:11" ht="18" x14ac:dyDescent="0.3">
      <c r="B75" s="21" t="s">
        <v>21</v>
      </c>
      <c r="C75" s="21" t="s">
        <v>20</v>
      </c>
      <c r="D75" s="22" t="s">
        <v>19</v>
      </c>
      <c r="E75" s="22" t="s">
        <v>18</v>
      </c>
      <c r="F75" s="21" t="s">
        <v>17</v>
      </c>
      <c r="G75" s="20" t="s">
        <v>16</v>
      </c>
      <c r="H75" s="20" t="s">
        <v>15</v>
      </c>
      <c r="I75" s="20" t="s">
        <v>14</v>
      </c>
    </row>
    <row r="76" spans="1:11" x14ac:dyDescent="0.3">
      <c r="B76" s="7">
        <v>1</v>
      </c>
      <c r="C76" s="7" t="s">
        <v>13</v>
      </c>
      <c r="D76" s="19">
        <v>46063</v>
      </c>
      <c r="E76" s="19">
        <v>46068</v>
      </c>
      <c r="F76" s="7" t="s">
        <v>12</v>
      </c>
      <c r="G76" s="18">
        <v>5000</v>
      </c>
      <c r="H76" s="18">
        <v>7000</v>
      </c>
      <c r="I76" s="18">
        <v>1500</v>
      </c>
    </row>
    <row r="77" spans="1:11" x14ac:dyDescent="0.3">
      <c r="B77" s="7">
        <v>2</v>
      </c>
      <c r="C77" s="7" t="s">
        <v>11</v>
      </c>
      <c r="D77" s="19">
        <v>46068</v>
      </c>
      <c r="E77" s="19">
        <v>46073</v>
      </c>
      <c r="F77" s="7" t="s">
        <v>10</v>
      </c>
      <c r="G77" s="18">
        <v>5000</v>
      </c>
      <c r="H77" s="18">
        <v>6500</v>
      </c>
      <c r="I77" s="18">
        <v>1400</v>
      </c>
    </row>
    <row r="78" spans="1:11" x14ac:dyDescent="0.3">
      <c r="B78" s="7">
        <v>3</v>
      </c>
      <c r="C78" s="7" t="s">
        <v>9</v>
      </c>
      <c r="D78" s="19">
        <v>46073</v>
      </c>
      <c r="E78" s="19">
        <v>46078</v>
      </c>
      <c r="F78" s="7" t="s">
        <v>8</v>
      </c>
      <c r="G78" s="18">
        <v>4000</v>
      </c>
      <c r="H78" s="18">
        <v>10000</v>
      </c>
      <c r="I78" s="18">
        <v>2500</v>
      </c>
    </row>
    <row r="79" spans="1:11" x14ac:dyDescent="0.3">
      <c r="B79" s="7">
        <v>4</v>
      </c>
      <c r="C79" s="7" t="s">
        <v>7</v>
      </c>
      <c r="D79" s="19">
        <v>46078</v>
      </c>
      <c r="E79" s="19">
        <v>46083</v>
      </c>
      <c r="F79" s="7" t="s">
        <v>6</v>
      </c>
      <c r="G79" s="18">
        <v>5000</v>
      </c>
      <c r="H79" s="18">
        <v>7000</v>
      </c>
      <c r="I79" s="18">
        <v>2000</v>
      </c>
    </row>
    <row r="80" spans="1:11" x14ac:dyDescent="0.3">
      <c r="B80" s="7">
        <v>5</v>
      </c>
      <c r="C80" s="7" t="s">
        <v>5</v>
      </c>
      <c r="D80" s="19">
        <v>46083</v>
      </c>
      <c r="E80" s="19">
        <v>46088</v>
      </c>
      <c r="F80" s="7" t="s">
        <v>4</v>
      </c>
      <c r="G80" s="18">
        <v>6000</v>
      </c>
      <c r="H80" s="18">
        <v>15000</v>
      </c>
      <c r="I80" s="18">
        <v>3000</v>
      </c>
    </row>
    <row r="81" spans="2:9" x14ac:dyDescent="0.3">
      <c r="B81" s="7">
        <v>6</v>
      </c>
      <c r="C81" s="7" t="s">
        <v>3</v>
      </c>
      <c r="D81" s="19">
        <v>46088</v>
      </c>
      <c r="E81" s="19">
        <v>46093</v>
      </c>
      <c r="F81" s="7" t="s">
        <v>2</v>
      </c>
      <c r="G81" s="18">
        <v>10000</v>
      </c>
      <c r="H81" s="18">
        <v>5000</v>
      </c>
      <c r="I81" s="18">
        <v>2000</v>
      </c>
    </row>
    <row r="82" spans="2:9" x14ac:dyDescent="0.3">
      <c r="B82" s="7"/>
      <c r="C82" s="7"/>
      <c r="D82" s="19"/>
      <c r="E82" s="19"/>
      <c r="F82" s="7"/>
      <c r="G82" s="18"/>
      <c r="H82" s="18"/>
      <c r="I82" s="18"/>
    </row>
    <row r="83" spans="2:9" x14ac:dyDescent="0.3">
      <c r="B83" s="7"/>
      <c r="C83" s="17" t="s">
        <v>1</v>
      </c>
      <c r="D83" s="16"/>
      <c r="E83" s="16"/>
      <c r="F83" s="15"/>
      <c r="G83" s="14">
        <f>SUM(G76:G82)</f>
        <v>35000</v>
      </c>
      <c r="H83" s="14">
        <f>SUM(H76:H82)</f>
        <v>50500</v>
      </c>
      <c r="I83" s="14">
        <f>SUM(I76:I82)</f>
        <v>12400</v>
      </c>
    </row>
    <row r="84" spans="2:9" x14ac:dyDescent="0.3">
      <c r="B84" s="7"/>
      <c r="C84" s="13"/>
      <c r="D84" s="12"/>
      <c r="E84" s="12"/>
      <c r="F84" s="11"/>
      <c r="G84" s="10"/>
      <c r="H84" s="9"/>
      <c r="I84" s="8"/>
    </row>
    <row r="85" spans="2:9" ht="18" x14ac:dyDescent="0.3">
      <c r="B85" s="7"/>
      <c r="C85" s="6" t="s">
        <v>0</v>
      </c>
      <c r="D85" s="5"/>
      <c r="E85" s="5"/>
      <c r="F85" s="4"/>
      <c r="G85" s="3">
        <f>SUM(G83:I83)</f>
        <v>97900</v>
      </c>
      <c r="H85" s="2"/>
      <c r="I85" s="1"/>
    </row>
  </sheetData>
  <mergeCells count="14">
    <mergeCell ref="C15:G15"/>
    <mergeCell ref="B59:E59"/>
    <mergeCell ref="F45:I45"/>
    <mergeCell ref="F47:F52"/>
    <mergeCell ref="I47:I52"/>
    <mergeCell ref="G52:H52"/>
    <mergeCell ref="G47:H47"/>
    <mergeCell ref="C83:F83"/>
    <mergeCell ref="C84:F84"/>
    <mergeCell ref="G84:I84"/>
    <mergeCell ref="C85:F85"/>
    <mergeCell ref="G85:I85"/>
    <mergeCell ref="C18:E20"/>
    <mergeCell ref="B24:F24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2026-05-17T19:58:21Z</dcterms:created>
  <dcterms:modified xsi:type="dcterms:W3CDTF">2026-05-17T19:59:58Z</dcterms:modified>
</cp:coreProperties>
</file>