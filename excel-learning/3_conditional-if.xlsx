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EA7A277D-CA6C-4A3A-B81F-90B9F6AD7A94}" xr6:coauthVersionLast="47" xr6:coauthVersionMax="47" xr10:uidLastSave="{00000000-0000-0000-0000-000000000000}"/>
  <bookViews>
    <workbookView xWindow="-108" yWindow="-108" windowWidth="23256" windowHeight="12456" xr2:uid="{73F4A20A-63AB-4084-B605-382FFE88A21B}"/>
  </bookViews>
  <sheets>
    <sheet name="3_Conditional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1" i="1"/>
  <c r="E43" i="1"/>
  <c r="E44" i="1"/>
  <c r="E45" i="1"/>
  <c r="E46" i="1"/>
  <c r="E47" i="1"/>
  <c r="E56" i="1"/>
  <c r="F56" i="1"/>
  <c r="E79" i="1"/>
  <c r="F79" i="1"/>
  <c r="G79" i="1"/>
  <c r="F108" i="1"/>
</calcChain>
</file>

<file path=xl/sharedStrings.xml><?xml version="1.0" encoding="utf-8"?>
<sst xmlns="http://schemas.openxmlformats.org/spreadsheetml/2006/main" count="104" uniqueCount="54">
  <si>
    <t>klm</t>
  </si>
  <si>
    <t>shahil</t>
  </si>
  <si>
    <t>khi</t>
  </si>
  <si>
    <t>adhithya</t>
  </si>
  <si>
    <t>tvm</t>
  </si>
  <si>
    <t>adithya</t>
  </si>
  <si>
    <t>jinu</t>
  </si>
  <si>
    <t>sanah</t>
  </si>
  <si>
    <t>abu</t>
  </si>
  <si>
    <t>shaham</t>
  </si>
  <si>
    <t>anu</t>
  </si>
  <si>
    <t>adhi</t>
  </si>
  <si>
    <t xml:space="preserve">TOTAL INCOME OF   KOLLAM </t>
  </si>
  <si>
    <t>CITY</t>
  </si>
  <si>
    <t>INCOME  / in K</t>
  </si>
  <si>
    <t xml:space="preserve">E_NAME </t>
  </si>
  <si>
    <t>condition 1 - income &gt; 50 , condition 2 - klm people only  , total income in klm</t>
  </si>
  <si>
    <t>SUM_IFS</t>
  </si>
  <si>
    <t xml:space="preserve"> </t>
  </si>
  <si>
    <t>TVM</t>
  </si>
  <si>
    <t>KLM</t>
  </si>
  <si>
    <t>KOCHI</t>
  </si>
  <si>
    <t>Average income for a city</t>
  </si>
  <si>
    <t>AVERAGE IF</t>
  </si>
  <si>
    <t>green</t>
  </si>
  <si>
    <t>yellow</t>
  </si>
  <si>
    <t>jinan</t>
  </si>
  <si>
    <t>red</t>
  </si>
  <si>
    <t>Adhi</t>
  </si>
  <si>
    <t xml:space="preserve">yellow point </t>
  </si>
  <si>
    <t xml:space="preserve">green point </t>
  </si>
  <si>
    <t>points</t>
  </si>
  <si>
    <t xml:space="preserve">color </t>
  </si>
  <si>
    <t xml:space="preserve">name </t>
  </si>
  <si>
    <t>SUM IF</t>
  </si>
  <si>
    <t>part-time</t>
  </si>
  <si>
    <t>full-time</t>
  </si>
  <si>
    <t>&lt;== nexted if</t>
  </si>
  <si>
    <t>Eligible / not</t>
  </si>
  <si>
    <t xml:space="preserve">time </t>
  </si>
  <si>
    <t>CGPA</t>
  </si>
  <si>
    <t xml:space="preserve">name   </t>
  </si>
  <si>
    <t>In UCLA online store, only full-time students with GPA over 4.5 get a discount otherwise they don't;</t>
  </si>
  <si>
    <t>NEXTED IF STATEMENT</t>
  </si>
  <si>
    <t>&lt;============</t>
  </si>
  <si>
    <t>Eligible candidates</t>
  </si>
  <si>
    <t xml:space="preserve">&lt;== COUNT_IF </t>
  </si>
  <si>
    <t>arush</t>
  </si>
  <si>
    <t>anathan</t>
  </si>
  <si>
    <t>&lt;== IF statement</t>
  </si>
  <si>
    <t>Eligible or not</t>
  </si>
  <si>
    <t xml:space="preserve">Age </t>
  </si>
  <si>
    <t>Lisence application criteria for people to chaecck eligible or not ?</t>
  </si>
  <si>
    <t>conditional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</si>
</sst>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 tint="4.9989318521683403E-2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2" borderId="2" xfId="0" applyNumberFormat="1" applyFill="1" applyBorder="1" applyAlignment="1">
      <alignment horizontal="center"/>
    </xf>
    <xf numFmtId="44" fontId="0" fillId="2" borderId="3" xfId="0" applyNumberFormat="1" applyFill="1" applyBorder="1" applyAlignment="1">
      <alignment horizontal="center"/>
    </xf>
    <xf numFmtId="44" fontId="0" fillId="2" borderId="4" xfId="0" applyNumberForma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12" borderId="1" xfId="0" applyFont="1" applyFill="1" applyBorder="1"/>
    <xf numFmtId="0" fontId="2" fillId="1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A91E-8AB2-4049-97F3-C25940F1FF06}">
  <dimension ref="A7:J115"/>
  <sheetViews>
    <sheetView tabSelected="1" topLeftCell="A98" zoomScale="57" workbookViewId="0">
      <selection activeCell="A96" sqref="A96:XFD96"/>
    </sheetView>
  </sheetViews>
  <sheetFormatPr defaultRowHeight="14.4" x14ac:dyDescent="0.3"/>
  <cols>
    <col min="2" max="2" width="9.6640625" bestFit="1" customWidth="1"/>
    <col min="3" max="3" width="12.21875" bestFit="1" customWidth="1"/>
    <col min="4" max="4" width="8.44140625" bestFit="1" customWidth="1"/>
    <col min="5" max="5" width="16.109375" bestFit="1" customWidth="1"/>
    <col min="6" max="6" width="23.88671875" bestFit="1" customWidth="1"/>
    <col min="7" max="7" width="12" bestFit="1" customWidth="1"/>
  </cols>
  <sheetData>
    <row r="7" spans="2:9" x14ac:dyDescent="0.3">
      <c r="B7" s="32" t="s">
        <v>53</v>
      </c>
      <c r="C7" s="32"/>
      <c r="D7" s="32"/>
      <c r="E7" s="32"/>
      <c r="F7" s="32"/>
      <c r="G7" s="32"/>
      <c r="H7" s="32"/>
      <c r="I7" s="32"/>
    </row>
    <row r="8" spans="2:9" x14ac:dyDescent="0.3">
      <c r="B8" s="32"/>
      <c r="C8" s="32"/>
      <c r="D8" s="32"/>
      <c r="E8" s="32"/>
      <c r="F8" s="32"/>
      <c r="G8" s="32"/>
      <c r="H8" s="32"/>
      <c r="I8" s="32"/>
    </row>
    <row r="10" spans="2:9" x14ac:dyDescent="0.3">
      <c r="B10" s="31" t="s">
        <v>52</v>
      </c>
      <c r="C10" s="31"/>
      <c r="D10" s="31"/>
      <c r="E10" s="31"/>
      <c r="F10" s="31"/>
      <c r="G10" s="31"/>
      <c r="H10" s="31"/>
      <c r="I10" s="31"/>
    </row>
    <row r="12" spans="2:9" ht="18" x14ac:dyDescent="0.35">
      <c r="C12" s="30" t="s">
        <v>33</v>
      </c>
      <c r="D12" s="30" t="s">
        <v>51</v>
      </c>
      <c r="E12" s="30" t="s">
        <v>50</v>
      </c>
    </row>
    <row r="13" spans="2:9" ht="15.6" x14ac:dyDescent="0.3">
      <c r="C13" s="1" t="s">
        <v>28</v>
      </c>
      <c r="D13" s="1">
        <v>17</v>
      </c>
      <c r="E13" s="28" t="str">
        <f>IF(D13&gt;=18,"YES", " NO")</f>
        <v xml:space="preserve"> NO</v>
      </c>
    </row>
    <row r="14" spans="2:9" ht="15.6" x14ac:dyDescent="0.3">
      <c r="C14" s="1" t="s">
        <v>8</v>
      </c>
      <c r="D14" s="1">
        <v>21</v>
      </c>
      <c r="E14" s="28" t="str">
        <f>IF(D14&gt;=18,"YES", " NO")</f>
        <v>YES</v>
      </c>
    </row>
    <row r="15" spans="2:9" ht="15.6" x14ac:dyDescent="0.3">
      <c r="C15" s="1" t="s">
        <v>26</v>
      </c>
      <c r="D15" s="1">
        <v>20</v>
      </c>
      <c r="E15" s="28" t="str">
        <f>IF(D15&gt;=18,"YES", " NO")</f>
        <v>YES</v>
      </c>
      <c r="G15" s="29" t="s">
        <v>49</v>
      </c>
      <c r="H15" s="29"/>
      <c r="I15" s="29"/>
    </row>
    <row r="16" spans="2:9" ht="15.6" x14ac:dyDescent="0.3">
      <c r="C16" s="1" t="s">
        <v>3</v>
      </c>
      <c r="D16" s="1">
        <v>16</v>
      </c>
      <c r="E16" s="28" t="str">
        <f>IF(D16&gt;=18,"YES", " NO")</f>
        <v xml:space="preserve"> NO</v>
      </c>
      <c r="G16" s="29"/>
      <c r="H16" s="29"/>
      <c r="I16" s="29"/>
    </row>
    <row r="17" spans="3:9" ht="15.6" x14ac:dyDescent="0.3">
      <c r="C17" s="1" t="s">
        <v>1</v>
      </c>
      <c r="D17" s="1">
        <v>25</v>
      </c>
      <c r="E17" s="28" t="str">
        <f>IF(D17&gt;=18,"YES", " NO")</f>
        <v>YES</v>
      </c>
      <c r="G17" s="29"/>
      <c r="H17" s="29"/>
      <c r="I17" s="29"/>
    </row>
    <row r="18" spans="3:9" ht="15.6" x14ac:dyDescent="0.3">
      <c r="C18" s="1" t="s">
        <v>48</v>
      </c>
      <c r="D18" s="1">
        <v>18</v>
      </c>
      <c r="E18" s="28" t="str">
        <f>IF(D18&gt;=18,"YES", " NO")</f>
        <v>YES</v>
      </c>
    </row>
    <row r="19" spans="3:9" ht="15.6" x14ac:dyDescent="0.3">
      <c r="C19" s="1" t="s">
        <v>47</v>
      </c>
      <c r="D19" s="1">
        <v>19</v>
      </c>
      <c r="E19" s="28" t="str">
        <f>IF(D19&gt;=18,"YES", " NO")</f>
        <v>YES</v>
      </c>
    </row>
    <row r="20" spans="3:9" x14ac:dyDescent="0.3">
      <c r="C20" s="7"/>
      <c r="D20" s="7"/>
      <c r="E20" s="7"/>
      <c r="G20" s="23" t="s">
        <v>46</v>
      </c>
      <c r="H20" s="23"/>
      <c r="I20" s="23"/>
    </row>
    <row r="21" spans="3:9" ht="18" x14ac:dyDescent="0.35">
      <c r="C21" s="27" t="s">
        <v>45</v>
      </c>
      <c r="D21" s="26"/>
      <c r="E21" s="25">
        <f>COUNTIF(D13:D19,"&gt;=18")</f>
        <v>5</v>
      </c>
      <c r="F21" s="24" t="s">
        <v>44</v>
      </c>
      <c r="G21" s="23"/>
      <c r="H21" s="23"/>
      <c r="I21" s="23"/>
    </row>
    <row r="22" spans="3:9" x14ac:dyDescent="0.3">
      <c r="C22" s="7"/>
      <c r="D22" s="7"/>
      <c r="E22" s="7"/>
      <c r="G22" s="23"/>
      <c r="H22" s="23"/>
      <c r="I22" s="23"/>
    </row>
    <row r="23" spans="3:9" x14ac:dyDescent="0.3">
      <c r="C23" s="7"/>
      <c r="D23" s="7"/>
      <c r="E23" s="7"/>
    </row>
    <row r="34" spans="2:10" x14ac:dyDescent="0.3">
      <c r="B34" s="22" t="s">
        <v>43</v>
      </c>
      <c r="C34" s="22"/>
      <c r="D34" s="22"/>
      <c r="E34" s="22"/>
      <c r="F34" s="22"/>
      <c r="G34" s="22"/>
      <c r="H34" s="22"/>
    </row>
    <row r="35" spans="2:10" x14ac:dyDescent="0.3">
      <c r="B35" s="22"/>
      <c r="C35" s="22"/>
      <c r="D35" s="22"/>
      <c r="E35" s="22"/>
      <c r="F35" s="22"/>
      <c r="G35" s="22"/>
      <c r="H35" s="22"/>
    </row>
    <row r="37" spans="2:10" ht="15.6" x14ac:dyDescent="0.3">
      <c r="B37" s="21" t="s">
        <v>42</v>
      </c>
      <c r="C37" s="21"/>
      <c r="D37" s="21"/>
      <c r="E37" s="21"/>
      <c r="F37" s="21"/>
      <c r="G37" s="21"/>
      <c r="H37" s="21"/>
      <c r="I37" s="20"/>
    </row>
    <row r="38" spans="2:10" ht="15.6" x14ac:dyDescent="0.3">
      <c r="B38" s="21"/>
      <c r="C38" s="21"/>
      <c r="D38" s="21"/>
      <c r="E38" s="21"/>
      <c r="F38" s="21"/>
      <c r="G38" s="21"/>
      <c r="H38" s="21"/>
      <c r="I38" s="20"/>
    </row>
    <row r="39" spans="2:10" ht="15.6" x14ac:dyDescent="0.3">
      <c r="B39" s="20"/>
      <c r="C39" s="20"/>
      <c r="D39" s="20"/>
      <c r="E39" s="20"/>
      <c r="F39" s="20"/>
      <c r="G39" s="20"/>
      <c r="H39" s="20"/>
      <c r="I39" s="20"/>
    </row>
    <row r="42" spans="2:10" ht="21" x14ac:dyDescent="0.3">
      <c r="B42" s="19" t="s">
        <v>41</v>
      </c>
      <c r="C42" s="19" t="s">
        <v>40</v>
      </c>
      <c r="D42" s="19" t="s">
        <v>39</v>
      </c>
      <c r="E42" s="19" t="s">
        <v>38</v>
      </c>
    </row>
    <row r="43" spans="2:10" x14ac:dyDescent="0.3">
      <c r="B43" s="1" t="s">
        <v>28</v>
      </c>
      <c r="C43" s="1">
        <v>3.5</v>
      </c>
      <c r="D43" s="1" t="s">
        <v>36</v>
      </c>
      <c r="E43" s="7" t="str">
        <f>IF(C43 &gt;=4.5,IF(D43 ="full-time","yes","no" ),"NO")</f>
        <v>NO</v>
      </c>
    </row>
    <row r="44" spans="2:10" x14ac:dyDescent="0.3">
      <c r="B44" s="1" t="s">
        <v>8</v>
      </c>
      <c r="C44" s="1">
        <v>7</v>
      </c>
      <c r="D44" s="1" t="s">
        <v>35</v>
      </c>
      <c r="E44" s="7" t="str">
        <f>IF(C44 &gt;=4.5,IF(D44 ="full-time","yes","no" ),"NO")</f>
        <v>no</v>
      </c>
      <c r="G44" s="18" t="s">
        <v>37</v>
      </c>
      <c r="H44" s="18"/>
      <c r="I44" s="18"/>
      <c r="J44" s="18"/>
    </row>
    <row r="45" spans="2:10" x14ac:dyDescent="0.3">
      <c r="B45" s="1" t="s">
        <v>26</v>
      </c>
      <c r="C45" s="1">
        <v>5.5</v>
      </c>
      <c r="D45" s="1" t="s">
        <v>36</v>
      </c>
      <c r="E45" s="7" t="str">
        <f>IF(C45 &gt;=4.5,IF(D45 ="full-time","yes","no" ),"NO")</f>
        <v>yes</v>
      </c>
      <c r="G45" s="18"/>
      <c r="H45" s="18"/>
      <c r="I45" s="18"/>
      <c r="J45" s="18"/>
    </row>
    <row r="46" spans="2:10" x14ac:dyDescent="0.3">
      <c r="B46" s="1" t="s">
        <v>3</v>
      </c>
      <c r="C46" s="1">
        <v>2</v>
      </c>
      <c r="D46" s="1" t="s">
        <v>36</v>
      </c>
      <c r="E46" s="7" t="str">
        <f>IF(C46 &gt;=4.5,IF(D46 ="full-time","yes","no" ),"NO")</f>
        <v>NO</v>
      </c>
    </row>
    <row r="47" spans="2:10" x14ac:dyDescent="0.3">
      <c r="B47" s="1" t="s">
        <v>1</v>
      </c>
      <c r="C47" s="1">
        <v>5</v>
      </c>
      <c r="D47" s="1" t="s">
        <v>35</v>
      </c>
      <c r="E47" s="7" t="str">
        <f>IF(C47 &gt;=4.5,IF(D47 ="full-time","yes","no" ),"NO")</f>
        <v>no</v>
      </c>
    </row>
    <row r="51" spans="2:7" x14ac:dyDescent="0.3">
      <c r="B51" s="17" t="s">
        <v>34</v>
      </c>
      <c r="C51" s="17"/>
      <c r="D51" s="17"/>
      <c r="E51" s="17"/>
      <c r="F51" s="17"/>
      <c r="G51" s="17"/>
    </row>
    <row r="52" spans="2:7" x14ac:dyDescent="0.3">
      <c r="B52" s="17"/>
      <c r="C52" s="17"/>
      <c r="D52" s="17"/>
      <c r="E52" s="17"/>
      <c r="F52" s="17"/>
      <c r="G52" s="17"/>
    </row>
    <row r="55" spans="2:7" x14ac:dyDescent="0.3">
      <c r="B55" s="1" t="s">
        <v>33</v>
      </c>
      <c r="C55" s="1" t="s">
        <v>32</v>
      </c>
      <c r="D55" s="1" t="s">
        <v>31</v>
      </c>
      <c r="E55" s="1" t="s">
        <v>30</v>
      </c>
      <c r="F55" s="1" t="s">
        <v>29</v>
      </c>
    </row>
    <row r="56" spans="2:7" x14ac:dyDescent="0.3">
      <c r="B56" s="1" t="s">
        <v>28</v>
      </c>
      <c r="C56" s="1" t="s">
        <v>25</v>
      </c>
      <c r="D56" s="1">
        <v>10</v>
      </c>
      <c r="E56" s="16">
        <f>SUMIF(C56:C60,"green",D56:D60)</f>
        <v>42</v>
      </c>
      <c r="F56" s="13">
        <f>SUMIF(C56:C60,"yellow",D56:D60)</f>
        <v>35</v>
      </c>
    </row>
    <row r="57" spans="2:7" x14ac:dyDescent="0.3">
      <c r="B57" s="1" t="s">
        <v>8</v>
      </c>
      <c r="C57" s="1" t="s">
        <v>27</v>
      </c>
      <c r="D57" s="1">
        <v>45</v>
      </c>
      <c r="E57" s="16"/>
      <c r="F57" s="12"/>
    </row>
    <row r="58" spans="2:7" x14ac:dyDescent="0.3">
      <c r="B58" s="1" t="s">
        <v>26</v>
      </c>
      <c r="C58" s="1" t="s">
        <v>25</v>
      </c>
      <c r="D58" s="1">
        <v>25</v>
      </c>
      <c r="E58" s="16"/>
      <c r="F58" s="12"/>
    </row>
    <row r="59" spans="2:7" x14ac:dyDescent="0.3">
      <c r="B59" s="1" t="s">
        <v>3</v>
      </c>
      <c r="C59" s="1" t="s">
        <v>24</v>
      </c>
      <c r="D59" s="1">
        <v>30</v>
      </c>
      <c r="E59" s="16"/>
      <c r="F59" s="12"/>
    </row>
    <row r="60" spans="2:7" x14ac:dyDescent="0.3">
      <c r="B60" s="1" t="s">
        <v>1</v>
      </c>
      <c r="C60" s="1" t="s">
        <v>24</v>
      </c>
      <c r="D60" s="1">
        <v>12</v>
      </c>
      <c r="E60" s="16"/>
      <c r="F60" s="11"/>
    </row>
    <row r="73" spans="2:7" x14ac:dyDescent="0.3">
      <c r="B73" s="15" t="s">
        <v>23</v>
      </c>
      <c r="C73" s="15"/>
      <c r="D73" s="15"/>
      <c r="E73" s="15"/>
      <c r="F73" s="15"/>
    </row>
    <row r="74" spans="2:7" x14ac:dyDescent="0.3">
      <c r="B74" s="15"/>
      <c r="C74" s="15"/>
      <c r="D74" s="15"/>
      <c r="E74" s="15"/>
      <c r="F74" s="15"/>
    </row>
    <row r="76" spans="2:7" ht="21" x14ac:dyDescent="0.4">
      <c r="B76" s="14" t="s">
        <v>22</v>
      </c>
      <c r="C76" s="14"/>
      <c r="D76" s="14"/>
      <c r="E76" s="14"/>
      <c r="F76" s="14"/>
    </row>
    <row r="78" spans="2:7" x14ac:dyDescent="0.3">
      <c r="B78" s="1" t="s">
        <v>15</v>
      </c>
      <c r="C78" s="1" t="s">
        <v>14</v>
      </c>
      <c r="D78" s="1" t="s">
        <v>13</v>
      </c>
      <c r="E78" s="1" t="s">
        <v>21</v>
      </c>
      <c r="F78" s="1" t="s">
        <v>20</v>
      </c>
      <c r="G78" s="1" t="s">
        <v>19</v>
      </c>
    </row>
    <row r="79" spans="2:7" x14ac:dyDescent="0.3">
      <c r="B79" s="1" t="s">
        <v>11</v>
      </c>
      <c r="C79" s="1">
        <v>70</v>
      </c>
      <c r="D79" s="1" t="s">
        <v>0</v>
      </c>
      <c r="E79" s="13">
        <f>AVERAGEIF(D79:D88,"khi",C79:C88)</f>
        <v>50.666666666666664</v>
      </c>
      <c r="F79" s="13">
        <f>AVERAGEIF(D79:D88,"klm",C79:C88)</f>
        <v>54</v>
      </c>
      <c r="G79" s="13">
        <f>AVERAGEIF(D79:D88,"tvm",C79:C88)</f>
        <v>55.333333333333336</v>
      </c>
    </row>
    <row r="80" spans="2:7" x14ac:dyDescent="0.3">
      <c r="B80" s="1" t="s">
        <v>10</v>
      </c>
      <c r="C80" s="1">
        <v>55</v>
      </c>
      <c r="D80" s="1" t="s">
        <v>2</v>
      </c>
      <c r="E80" s="12"/>
      <c r="F80" s="12"/>
      <c r="G80" s="12"/>
    </row>
    <row r="81" spans="1:7" x14ac:dyDescent="0.3">
      <c r="B81" s="1" t="s">
        <v>9</v>
      </c>
      <c r="C81" s="1">
        <v>45</v>
      </c>
      <c r="D81" s="1" t="s">
        <v>4</v>
      </c>
      <c r="E81" s="12"/>
      <c r="F81" s="12"/>
      <c r="G81" s="12"/>
    </row>
    <row r="82" spans="1:7" x14ac:dyDescent="0.3">
      <c r="B82" s="1" t="s">
        <v>8</v>
      </c>
      <c r="C82" s="1">
        <v>65</v>
      </c>
      <c r="D82" s="1" t="s">
        <v>4</v>
      </c>
      <c r="E82" s="12"/>
      <c r="F82" s="12"/>
      <c r="G82" s="12"/>
    </row>
    <row r="83" spans="1:7" x14ac:dyDescent="0.3">
      <c r="B83" s="1" t="s">
        <v>1</v>
      </c>
      <c r="C83" s="1">
        <v>63</v>
      </c>
      <c r="D83" s="1" t="s">
        <v>0</v>
      </c>
      <c r="E83" s="12"/>
      <c r="F83" s="12"/>
      <c r="G83" s="12"/>
    </row>
    <row r="84" spans="1:7" x14ac:dyDescent="0.3">
      <c r="B84" s="1" t="s">
        <v>7</v>
      </c>
      <c r="C84" s="1">
        <v>54</v>
      </c>
      <c r="D84" s="1" t="s">
        <v>0</v>
      </c>
      <c r="E84" s="12"/>
      <c r="F84" s="12"/>
      <c r="G84" s="12"/>
    </row>
    <row r="85" spans="1:7" x14ac:dyDescent="0.3">
      <c r="B85" s="1" t="s">
        <v>6</v>
      </c>
      <c r="C85" s="1">
        <v>85</v>
      </c>
      <c r="D85" s="1" t="s">
        <v>2</v>
      </c>
      <c r="E85" s="12"/>
      <c r="F85" s="12"/>
      <c r="G85" s="12"/>
    </row>
    <row r="86" spans="1:7" x14ac:dyDescent="0.3">
      <c r="B86" s="1" t="s">
        <v>5</v>
      </c>
      <c r="C86" s="1">
        <v>56</v>
      </c>
      <c r="D86" s="1" t="s">
        <v>4</v>
      </c>
      <c r="E86" s="12"/>
      <c r="F86" s="12"/>
      <c r="G86" s="12"/>
    </row>
    <row r="87" spans="1:7" x14ac:dyDescent="0.3">
      <c r="B87" s="1" t="s">
        <v>3</v>
      </c>
      <c r="C87" s="1">
        <v>12</v>
      </c>
      <c r="D87" s="1" t="s">
        <v>2</v>
      </c>
      <c r="E87" s="12"/>
      <c r="F87" s="12"/>
      <c r="G87" s="12"/>
    </row>
    <row r="88" spans="1:7" x14ac:dyDescent="0.3">
      <c r="B88" s="1" t="s">
        <v>1</v>
      </c>
      <c r="C88" s="1">
        <v>29</v>
      </c>
      <c r="D88" s="1" t="s">
        <v>0</v>
      </c>
      <c r="E88" s="11"/>
      <c r="F88" s="11"/>
      <c r="G88" s="11"/>
    </row>
    <row r="96" spans="1:7" x14ac:dyDescent="0.3">
      <c r="A96" t="s">
        <v>18</v>
      </c>
    </row>
    <row r="100" spans="2:6" x14ac:dyDescent="0.3">
      <c r="B100" s="10" t="s">
        <v>17</v>
      </c>
      <c r="C100" s="10"/>
      <c r="D100" s="10"/>
      <c r="E100" s="10"/>
      <c r="F100" s="10"/>
    </row>
    <row r="101" spans="2:6" x14ac:dyDescent="0.3">
      <c r="B101" s="10"/>
      <c r="C101" s="10"/>
      <c r="D101" s="10"/>
      <c r="E101" s="10"/>
      <c r="F101" s="10"/>
    </row>
    <row r="103" spans="2:6" x14ac:dyDescent="0.3">
      <c r="B103" s="9" t="s">
        <v>16</v>
      </c>
      <c r="C103" s="9"/>
      <c r="D103" s="9"/>
      <c r="E103" s="9"/>
      <c r="F103" s="9"/>
    </row>
    <row r="105" spans="2:6" x14ac:dyDescent="0.3">
      <c r="B105" s="1" t="s">
        <v>15</v>
      </c>
      <c r="C105" s="1" t="s">
        <v>14</v>
      </c>
      <c r="D105" s="1" t="s">
        <v>13</v>
      </c>
      <c r="F105" s="8" t="s">
        <v>12</v>
      </c>
    </row>
    <row r="106" spans="2:6" x14ac:dyDescent="0.3">
      <c r="B106" s="1" t="s">
        <v>11</v>
      </c>
      <c r="C106" s="3">
        <v>70</v>
      </c>
      <c r="D106" s="1" t="s">
        <v>0</v>
      </c>
      <c r="F106" s="8"/>
    </row>
    <row r="107" spans="2:6" x14ac:dyDescent="0.3">
      <c r="B107" s="1" t="s">
        <v>10</v>
      </c>
      <c r="C107" s="3">
        <v>55</v>
      </c>
      <c r="D107" s="1" t="s">
        <v>0</v>
      </c>
      <c r="F107" s="7"/>
    </row>
    <row r="108" spans="2:6" x14ac:dyDescent="0.3">
      <c r="B108" s="1" t="s">
        <v>9</v>
      </c>
      <c r="C108" s="3">
        <v>45</v>
      </c>
      <c r="D108" s="1" t="s">
        <v>4</v>
      </c>
      <c r="F108" s="6">
        <f>SUMIFS(C106:C115,D106:D115,"klm",C106:C115,"&gt;=50")</f>
        <v>300</v>
      </c>
    </row>
    <row r="109" spans="2:6" x14ac:dyDescent="0.3">
      <c r="B109" s="1" t="s">
        <v>8</v>
      </c>
      <c r="C109" s="3">
        <v>65</v>
      </c>
      <c r="D109" s="1" t="s">
        <v>4</v>
      </c>
      <c r="F109" s="5"/>
    </row>
    <row r="110" spans="2:6" x14ac:dyDescent="0.3">
      <c r="B110" s="1" t="s">
        <v>1</v>
      </c>
      <c r="C110" s="3">
        <v>63</v>
      </c>
      <c r="D110" s="1" t="s">
        <v>0</v>
      </c>
      <c r="F110" s="4"/>
    </row>
    <row r="111" spans="2:6" x14ac:dyDescent="0.3">
      <c r="B111" s="1" t="s">
        <v>7</v>
      </c>
      <c r="C111" s="3">
        <v>54</v>
      </c>
      <c r="D111" s="1" t="s">
        <v>0</v>
      </c>
    </row>
    <row r="112" spans="2:6" x14ac:dyDescent="0.3">
      <c r="B112" s="1" t="s">
        <v>6</v>
      </c>
      <c r="C112" s="3">
        <v>85</v>
      </c>
      <c r="D112" s="1" t="s">
        <v>2</v>
      </c>
    </row>
    <row r="113" spans="2:4" x14ac:dyDescent="0.3">
      <c r="B113" s="1" t="s">
        <v>5</v>
      </c>
      <c r="C113" s="3">
        <v>56</v>
      </c>
      <c r="D113" s="1" t="s">
        <v>4</v>
      </c>
    </row>
    <row r="114" spans="2:4" x14ac:dyDescent="0.3">
      <c r="B114" s="1" t="s">
        <v>3</v>
      </c>
      <c r="C114" s="2">
        <v>12</v>
      </c>
      <c r="D114" s="1" t="s">
        <v>2</v>
      </c>
    </row>
    <row r="115" spans="2:4" x14ac:dyDescent="0.3">
      <c r="B115" s="1" t="s">
        <v>1</v>
      </c>
      <c r="C115" s="2">
        <v>58</v>
      </c>
      <c r="D115" s="1" t="s">
        <v>0</v>
      </c>
    </row>
  </sheetData>
  <mergeCells count="20">
    <mergeCell ref="F105:F106"/>
    <mergeCell ref="F108:F110"/>
    <mergeCell ref="B76:F76"/>
    <mergeCell ref="E79:E88"/>
    <mergeCell ref="F79:F88"/>
    <mergeCell ref="G79:G88"/>
    <mergeCell ref="B100:F101"/>
    <mergeCell ref="B103:F103"/>
    <mergeCell ref="B37:H38"/>
    <mergeCell ref="G44:J45"/>
    <mergeCell ref="B51:G52"/>
    <mergeCell ref="E56:E60"/>
    <mergeCell ref="F56:F60"/>
    <mergeCell ref="B73:F74"/>
    <mergeCell ref="B34:H35"/>
    <mergeCell ref="B7:I8"/>
    <mergeCell ref="B10:I10"/>
    <mergeCell ref="G15:I17"/>
    <mergeCell ref="G20:I22"/>
    <mergeCell ref="C21:D2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3_Conditional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2026-05-22T17:36:43Z</dcterms:created>
  <dcterms:modified xsi:type="dcterms:W3CDTF">2026-05-22T17:40:05Z</dcterms:modified>
</cp:coreProperties>
</file>