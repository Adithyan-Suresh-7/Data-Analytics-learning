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26ad2da8f5b92ed/Documents/Excel-data-analytics/"/>
    </mc:Choice>
  </mc:AlternateContent>
  <xr:revisionPtr revIDLastSave="0" documentId="8_{BD45C88C-C22C-4EF0-984E-E0926F707B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7.1-Practice task" sheetId="5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5" l="1"/>
  <c r="P4" i="5"/>
  <c r="P5" i="5"/>
  <c r="P6" i="5"/>
  <c r="P2" i="5"/>
  <c r="O2" i="5"/>
  <c r="N3" i="5"/>
  <c r="N4" i="5"/>
  <c r="N5" i="5"/>
  <c r="N6" i="5"/>
  <c r="M3" i="5"/>
  <c r="M4" i="5"/>
  <c r="M5" i="5"/>
  <c r="M6" i="5"/>
  <c r="M2" i="5"/>
  <c r="N2" i="5" s="1"/>
  <c r="L3" i="5"/>
  <c r="L4" i="5"/>
  <c r="L5" i="5"/>
  <c r="L6" i="5"/>
  <c r="L2" i="5"/>
  <c r="K3" i="5"/>
  <c r="K4" i="5"/>
  <c r="K5" i="5"/>
  <c r="K6" i="5"/>
  <c r="K2" i="5"/>
  <c r="J3" i="5"/>
  <c r="J4" i="5"/>
  <c r="J5" i="5"/>
  <c r="J6" i="5"/>
  <c r="J2" i="5"/>
</calcChain>
</file>

<file path=xl/sharedStrings.xml><?xml version="1.0" encoding="utf-8"?>
<sst xmlns="http://schemas.openxmlformats.org/spreadsheetml/2006/main" count="31" uniqueCount="26">
  <si>
    <t>Product_ID</t>
  </si>
  <si>
    <t>Product_Name</t>
  </si>
  <si>
    <t>Category</t>
  </si>
  <si>
    <t>Price_per_Unit</t>
  </si>
  <si>
    <t>Quantity_sold</t>
  </si>
  <si>
    <t>Discount_rate</t>
  </si>
  <si>
    <t>Tax_rate</t>
  </si>
  <si>
    <t>Date_sold</t>
  </si>
  <si>
    <t>Store_location</t>
  </si>
  <si>
    <t>1. Total_price (Price per Unit × Quantity Sold)</t>
  </si>
  <si>
    <t>2. Discount Amount (Total Price × Discount Rate)</t>
  </si>
  <si>
    <t>3. Price After Discount (Total Price – Discount Amount)</t>
  </si>
  <si>
    <t>4.Tax Amount (Price After Discount × Tax Rate)</t>
  </si>
  <si>
    <t>5. Final Price(Price after Discount + Tax amount)</t>
  </si>
  <si>
    <t>6. Total Quantity Sold for a Specific Store(Sum of Quantity Sold where Store Location = "Store Name")</t>
  </si>
  <si>
    <t>7.Tax Amount (Using Fixed Tax Rate) (Price After Discount × Fixed Tax Rate)</t>
  </si>
  <si>
    <t>Apple</t>
  </si>
  <si>
    <t>Fruit</t>
  </si>
  <si>
    <t>New York</t>
  </si>
  <si>
    <t>Mango</t>
  </si>
  <si>
    <t>Los Angeles</t>
  </si>
  <si>
    <t>Banana</t>
  </si>
  <si>
    <t>Chicago</t>
  </si>
  <si>
    <t>Grapes</t>
  </si>
  <si>
    <t>Houston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</si>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</sst>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dd\-mm\-yyyy"/>
  </numFmts>
  <fonts count="4">
    <font>
      <sz val="10"/>
      <color rgb="FF000000"/>
      <name val="Arial"/>
      <scheme val="minor"/>
    </font>
    <font>
      <b/>
      <sz val="11"/>
      <color rgb="FF000000"/>
      <name val="&quot;Aptos Narrow&quot;"/>
    </font>
    <font>
      <sz val="11"/>
      <color rgb="FF000000"/>
      <name val="&quot;Aptos Narrow&quot;"/>
    </font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/>
    <xf numFmtId="0" fontId="2" fillId="0" borderId="0" xfId="0" applyFont="1" applyAlignment="1">
      <alignment horizontal="right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1" fillId="0" borderId="2" xfId="0" applyFont="1" applyBorder="1"/>
    <xf numFmtId="44" fontId="2" fillId="0" borderId="0" xfId="1" applyFont="1" applyAlignment="1">
      <alignment horizontal="right"/>
    </xf>
    <xf numFmtId="0" fontId="1" fillId="0" borderId="1" xfId="0" applyFont="1" applyBorder="1" applyAlignment="1">
      <alignment wrapText="1"/>
    </xf>
    <xf numFmtId="44" fontId="1" fillId="0" borderId="1" xfId="1" applyFont="1" applyBorder="1" applyAlignment="1">
      <alignment wrapText="1"/>
    </xf>
    <xf numFmtId="44" fontId="2" fillId="0" borderId="0" xfId="0" applyNumberFormat="1" applyFont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P6"/>
  <sheetViews>
    <sheetView tabSelected="1" workbookViewId="0">
      <selection activeCell="O2" sqref="O2"/>
    </sheetView>
  </sheetViews>
  <sheetFormatPr defaultColWidth="12.6640625" defaultRowHeight="15.75" customHeight="1"/>
  <cols>
    <col min="1" max="1" width="11.6640625" bestFit="1" customWidth="1"/>
    <col min="2" max="2" width="15.44140625" bestFit="1" customWidth="1"/>
    <col min="3" max="3" width="9.88671875" bestFit="1" customWidth="1"/>
    <col min="4" max="4" width="15.44140625" bestFit="1" customWidth="1"/>
    <col min="5" max="6" width="14.5546875" bestFit="1" customWidth="1"/>
    <col min="7" max="7" width="9.44140625" bestFit="1" customWidth="1"/>
    <col min="8" max="8" width="11.21875" bestFit="1" customWidth="1"/>
    <col min="9" max="9" width="15.109375" bestFit="1" customWidth="1"/>
    <col min="10" max="10" width="20.6640625" customWidth="1"/>
    <col min="11" max="11" width="21.44140625" customWidth="1"/>
    <col min="12" max="12" width="25.5546875" customWidth="1"/>
    <col min="13" max="13" width="23.77734375" customWidth="1"/>
    <col min="14" max="14" width="22.6640625" customWidth="1"/>
    <col min="15" max="15" width="40.44140625" customWidth="1"/>
    <col min="16" max="16" width="37" customWidth="1"/>
  </cols>
  <sheetData>
    <row r="1" spans="1:16" ht="42.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1" t="s">
        <v>8</v>
      </c>
      <c r="J1" s="7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7" t="s">
        <v>14</v>
      </c>
      <c r="P1" s="7" t="s">
        <v>15</v>
      </c>
    </row>
    <row r="2" spans="1:16" ht="13.8">
      <c r="A2" s="2">
        <v>101</v>
      </c>
      <c r="B2" s="3" t="s">
        <v>16</v>
      </c>
      <c r="C2" s="3" t="s">
        <v>17</v>
      </c>
      <c r="D2" s="2">
        <v>10</v>
      </c>
      <c r="E2" s="2">
        <v>5</v>
      </c>
      <c r="F2" s="2">
        <v>0.05</v>
      </c>
      <c r="G2" s="2">
        <v>0.18</v>
      </c>
      <c r="H2" s="4">
        <v>45778</v>
      </c>
      <c r="I2" s="3" t="s">
        <v>18</v>
      </c>
      <c r="J2" s="6">
        <f>D2*E2</f>
        <v>50</v>
      </c>
      <c r="K2" s="6">
        <f>J2*F2</f>
        <v>2.5</v>
      </c>
      <c r="L2" s="6">
        <f>J2-K2</f>
        <v>47.5</v>
      </c>
      <c r="M2" s="6">
        <f>L2*$G$2</f>
        <v>8.5499999999999989</v>
      </c>
      <c r="N2" s="6">
        <f>SUM(L2,M2)</f>
        <v>56.05</v>
      </c>
      <c r="O2" s="2">
        <f>SUMIFS(E2:E6,I2:I6,"New York")</f>
        <v>12</v>
      </c>
      <c r="P2" s="9">
        <f>L2*G2</f>
        <v>8.5499999999999989</v>
      </c>
    </row>
    <row r="3" spans="1:16" ht="13.8">
      <c r="A3" s="2">
        <v>102</v>
      </c>
      <c r="B3" s="3" t="s">
        <v>19</v>
      </c>
      <c r="C3" s="3" t="s">
        <v>17</v>
      </c>
      <c r="D3" s="2">
        <v>15</v>
      </c>
      <c r="E3" s="2">
        <v>3</v>
      </c>
      <c r="F3" s="2">
        <v>0.1</v>
      </c>
      <c r="G3" s="2">
        <v>0.18</v>
      </c>
      <c r="H3" s="4">
        <v>45780</v>
      </c>
      <c r="I3" s="3" t="s">
        <v>20</v>
      </c>
      <c r="J3" s="6">
        <f t="shared" ref="J3:J6" si="0">D3*E3</f>
        <v>45</v>
      </c>
      <c r="K3" s="6">
        <f t="shared" ref="K3:K6" si="1">J3*F3</f>
        <v>4.5</v>
      </c>
      <c r="L3" s="6">
        <f t="shared" ref="L3:L6" si="2">J3-K3</f>
        <v>40.5</v>
      </c>
      <c r="M3" s="6">
        <f t="shared" ref="M3:M6" si="3">L3*$G$2</f>
        <v>7.29</v>
      </c>
      <c r="N3" s="6">
        <f t="shared" ref="N3:N6" si="4">SUM(L3,M3)</f>
        <v>47.79</v>
      </c>
      <c r="O3" s="3"/>
      <c r="P3" s="9">
        <f t="shared" ref="P3:P6" si="5">L3*G3</f>
        <v>7.29</v>
      </c>
    </row>
    <row r="4" spans="1:16" ht="13.8">
      <c r="A4" s="2">
        <v>103</v>
      </c>
      <c r="B4" s="3" t="s">
        <v>21</v>
      </c>
      <c r="C4" s="3" t="s">
        <v>17</v>
      </c>
      <c r="D4" s="2">
        <v>8</v>
      </c>
      <c r="E4" s="2">
        <v>6</v>
      </c>
      <c r="F4" s="2">
        <v>0</v>
      </c>
      <c r="G4" s="2">
        <v>0.18</v>
      </c>
      <c r="H4" s="4">
        <v>45782</v>
      </c>
      <c r="I4" s="3" t="s">
        <v>22</v>
      </c>
      <c r="J4" s="6">
        <f t="shared" si="0"/>
        <v>48</v>
      </c>
      <c r="K4" s="6">
        <f t="shared" si="1"/>
        <v>0</v>
      </c>
      <c r="L4" s="6">
        <f t="shared" si="2"/>
        <v>48</v>
      </c>
      <c r="M4" s="6">
        <f t="shared" si="3"/>
        <v>8.64</v>
      </c>
      <c r="N4" s="6">
        <f t="shared" si="4"/>
        <v>56.64</v>
      </c>
      <c r="O4" s="3"/>
      <c r="P4" s="9">
        <f t="shared" si="5"/>
        <v>8.64</v>
      </c>
    </row>
    <row r="5" spans="1:16" ht="13.8">
      <c r="A5" s="2">
        <v>104</v>
      </c>
      <c r="B5" s="3" t="s">
        <v>23</v>
      </c>
      <c r="C5" s="3" t="s">
        <v>17</v>
      </c>
      <c r="D5" s="2">
        <v>12</v>
      </c>
      <c r="E5" s="2">
        <v>4</v>
      </c>
      <c r="F5" s="2">
        <v>0.7</v>
      </c>
      <c r="G5" s="2">
        <v>0.18</v>
      </c>
      <c r="H5" s="4">
        <v>45784</v>
      </c>
      <c r="I5" s="3" t="s">
        <v>24</v>
      </c>
      <c r="J5" s="6">
        <f t="shared" si="0"/>
        <v>48</v>
      </c>
      <c r="K5" s="6">
        <f t="shared" si="1"/>
        <v>33.599999999999994</v>
      </c>
      <c r="L5" s="6">
        <f t="shared" si="2"/>
        <v>14.400000000000006</v>
      </c>
      <c r="M5" s="6">
        <f t="shared" si="3"/>
        <v>2.592000000000001</v>
      </c>
      <c r="N5" s="6">
        <f t="shared" si="4"/>
        <v>16.992000000000008</v>
      </c>
      <c r="O5" s="3"/>
      <c r="P5" s="9">
        <f t="shared" si="5"/>
        <v>2.592000000000001</v>
      </c>
    </row>
    <row r="6" spans="1:16" ht="13.8">
      <c r="A6" s="2">
        <v>105</v>
      </c>
      <c r="B6" s="3" t="s">
        <v>25</v>
      </c>
      <c r="C6" s="3" t="s">
        <v>17</v>
      </c>
      <c r="D6" s="2">
        <v>11</v>
      </c>
      <c r="E6" s="2">
        <v>7</v>
      </c>
      <c r="F6" s="2">
        <v>0.03</v>
      </c>
      <c r="G6" s="2">
        <v>0.18</v>
      </c>
      <c r="H6" s="4">
        <v>45786</v>
      </c>
      <c r="I6" s="3" t="s">
        <v>18</v>
      </c>
      <c r="J6" s="6">
        <f t="shared" si="0"/>
        <v>77</v>
      </c>
      <c r="K6" s="6">
        <f t="shared" si="1"/>
        <v>2.31</v>
      </c>
      <c r="L6" s="6">
        <f t="shared" si="2"/>
        <v>74.69</v>
      </c>
      <c r="M6" s="6">
        <f t="shared" si="3"/>
        <v>13.444199999999999</v>
      </c>
      <c r="N6" s="6">
        <f t="shared" si="4"/>
        <v>88.134199999999993</v>
      </c>
      <c r="O6" s="3"/>
      <c r="P6" s="9">
        <f t="shared" si="5"/>
        <v>13.444199999999999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7.1-Practice 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adhi rex</cp:lastModifiedBy>
  <dcterms:created xsi:type="dcterms:W3CDTF">2026-05-22T17:55:15Z</dcterms:created>
  <dcterms:modified xsi:type="dcterms:W3CDTF">2026-05-24T02:09:06Z</dcterms:modified>
</cp:coreProperties>
</file>