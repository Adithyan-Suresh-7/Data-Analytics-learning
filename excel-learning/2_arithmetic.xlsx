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26ad2da8f5b92ed/Documents/Excel-data-analytics/"/>
    </mc:Choice>
  </mc:AlternateContent>
  <xr:revisionPtr revIDLastSave="0" documentId="8_{CA47DD84-F257-447A-96AD-7B0A99A1238A}" xr6:coauthVersionLast="47" xr6:coauthVersionMax="47" xr10:uidLastSave="{00000000-0000-0000-0000-000000000000}"/>
  <bookViews>
    <workbookView xWindow="-108" yWindow="-108" windowWidth="23256" windowHeight="12456" xr2:uid="{D1D05DD5-5653-424A-B4DB-C2B87DC5E76D}"/>
  </bookViews>
  <sheets>
    <sheet name="Arithmetic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42" i="1" l="1"/>
  <c r="I116" i="1"/>
  <c r="H116" i="1"/>
  <c r="G116" i="1"/>
  <c r="H99" i="1"/>
  <c r="G99" i="1"/>
  <c r="G78" i="1"/>
  <c r="G77" i="1"/>
  <c r="G76" i="1"/>
  <c r="G75" i="1"/>
  <c r="G74" i="1"/>
  <c r="G61" i="1"/>
  <c r="G59" i="1"/>
  <c r="G58" i="1"/>
  <c r="G57" i="1"/>
  <c r="G56" i="1"/>
  <c r="G55" i="1"/>
  <c r="G54" i="1"/>
  <c r="G53" i="1"/>
  <c r="G35" i="1"/>
  <c r="K28" i="1"/>
  <c r="F21" i="1"/>
  <c r="E21" i="1"/>
  <c r="G9" i="1"/>
  <c r="G8" i="1"/>
  <c r="G7" i="1"/>
  <c r="G11" i="1" s="1"/>
  <c r="G6" i="1"/>
  <c r="G5" i="1"/>
  <c r="H11" i="1" s="1"/>
</calcChain>
</file>

<file path=xl/sharedStrings.xml><?xml version="1.0" encoding="utf-8"?>
<sst xmlns="http://schemas.openxmlformats.org/spreadsheetml/2006/main" count="140" uniqueCount="74">
  <si>
    <t>SUM</t>
  </si>
  <si>
    <t>company Name</t>
  </si>
  <si>
    <t xml:space="preserve">TOTAL INCOME </t>
  </si>
  <si>
    <t>hcl</t>
  </si>
  <si>
    <t>Total</t>
  </si>
  <si>
    <t>aws</t>
  </si>
  <si>
    <t>tss</t>
  </si>
  <si>
    <t>tcs</t>
  </si>
  <si>
    <t>Google</t>
  </si>
  <si>
    <t>amazon</t>
  </si>
  <si>
    <t>MAX =&gt;</t>
  </si>
  <si>
    <t>MIN</t>
  </si>
  <si>
    <t>MAX</t>
  </si>
  <si>
    <t>COUNT / COUNTA</t>
  </si>
  <si>
    <t>COUNT</t>
  </si>
  <si>
    <t>COUNTA</t>
  </si>
  <si>
    <t xml:space="preserve"> total number of digit in coloumn  =&gt;</t>
  </si>
  <si>
    <t>/21</t>
  </si>
  <si>
    <t xml:space="preserve">AVERAGE </t>
  </si>
  <si>
    <t xml:space="preserve">name </t>
  </si>
  <si>
    <t xml:space="preserve">age </t>
  </si>
  <si>
    <t xml:space="preserve">average age </t>
  </si>
  <si>
    <t>adhi</t>
  </si>
  <si>
    <t>anu</t>
  </si>
  <si>
    <t>shaham</t>
  </si>
  <si>
    <t>abu</t>
  </si>
  <si>
    <t>shahil</t>
  </si>
  <si>
    <t>sanah</t>
  </si>
  <si>
    <t>jinu</t>
  </si>
  <si>
    <t>adithya</t>
  </si>
  <si>
    <t>conditional statement</t>
  </si>
  <si>
    <t>Lisence application criteria for people to chaecck eligible or not ?</t>
  </si>
  <si>
    <t xml:space="preserve">Age </t>
  </si>
  <si>
    <t>Eligible or not</t>
  </si>
  <si>
    <t>Adhi</t>
  </si>
  <si>
    <t>jinan</t>
  </si>
  <si>
    <t>&lt;== IF statement</t>
  </si>
  <si>
    <t>adhithya</t>
  </si>
  <si>
    <t>anathan</t>
  </si>
  <si>
    <t>arush</t>
  </si>
  <si>
    <t xml:space="preserve">&lt;== COUNT_IF </t>
  </si>
  <si>
    <t>Eligible candidates</t>
  </si>
  <si>
    <t>&lt;============</t>
  </si>
  <si>
    <t>NEXTED IF STATEMENT</t>
  </si>
  <si>
    <t>In UCLA online store, only full-time students with GPA over 4.5 get a discount otherwise they don't;</t>
  </si>
  <si>
    <t xml:space="preserve">name   </t>
  </si>
  <si>
    <t>CGPA</t>
  </si>
  <si>
    <t xml:space="preserve">time </t>
  </si>
  <si>
    <t>Eligible / not</t>
  </si>
  <si>
    <t>full-time</t>
  </si>
  <si>
    <t>part-time</t>
  </si>
  <si>
    <t>&lt;== nexted if</t>
  </si>
  <si>
    <t>SUM IF</t>
  </si>
  <si>
    <t xml:space="preserve">color </t>
  </si>
  <si>
    <t>points</t>
  </si>
  <si>
    <t xml:space="preserve">green point </t>
  </si>
  <si>
    <t xml:space="preserve">yellow point </t>
  </si>
  <si>
    <t>yellow</t>
  </si>
  <si>
    <t>red</t>
  </si>
  <si>
    <t>green</t>
  </si>
  <si>
    <t>AVERAGE IF</t>
  </si>
  <si>
    <t>Average income for a city</t>
  </si>
  <si>
    <t xml:space="preserve">E_NAME </t>
  </si>
  <si>
    <t>INCOME  / in K</t>
  </si>
  <si>
    <t>CITY</t>
  </si>
  <si>
    <t>KOCHI</t>
  </si>
  <si>
    <t>KLM</t>
  </si>
  <si>
    <t>TVM</t>
  </si>
  <si>
    <t>klm</t>
  </si>
  <si>
    <t>khi</t>
  </si>
  <si>
    <t>tvm</t>
  </si>
  <si>
    <t>SUM_IFS</t>
  </si>
  <si>
    <t>condition 1 - income &gt; 50 , condition 2 - klm people only  , total income in klm</t>
  </si>
  <si>
    <t xml:space="preserve">TOTAL INCOME OF   KOLLAM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</si>
</sst>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&quot;₹&quot;\ #,##0.00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24"/>
      <color theme="0"/>
      <name val="Aptos Narrow"/>
      <family val="2"/>
      <scheme val="minor"/>
    </font>
    <font>
      <sz val="11"/>
      <color theme="1"/>
      <name val="Arial Black"/>
      <family val="2"/>
    </font>
    <font>
      <sz val="26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20"/>
      <color theme="0"/>
      <name val="Aptos Narrow"/>
      <family val="2"/>
      <scheme val="minor"/>
    </font>
    <font>
      <sz val="22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6"/>
      <color theme="0"/>
      <name val="Aptos Narrow"/>
      <family val="2"/>
      <scheme val="minor"/>
    </font>
    <font>
      <sz val="26"/>
      <color theme="1"/>
      <name val="Aptos Narrow"/>
      <family val="2"/>
      <scheme val="minor"/>
    </font>
    <font>
      <sz val="22"/>
      <color theme="1" tint="4.9989318521683403E-2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8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44" fontId="0" fillId="0" borderId="1" xfId="0" applyNumberFormat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0" fontId="0" fillId="8" borderId="5" xfId="0" applyFill="1" applyBorder="1" applyAlignment="1">
      <alignment horizontal="center"/>
    </xf>
    <xf numFmtId="0" fontId="0" fillId="8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8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9" borderId="0" xfId="0" applyFill="1" applyAlignment="1">
      <alignment horizontal="center"/>
    </xf>
    <xf numFmtId="0" fontId="2" fillId="10" borderId="6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2" fillId="10" borderId="7" xfId="0" applyFont="1" applyFill="1" applyBorder="1" applyAlignment="1">
      <alignment horizontal="center" vertical="center"/>
    </xf>
    <xf numFmtId="0" fontId="0" fillId="10" borderId="1" xfId="0" applyFill="1" applyBorder="1"/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4" fillId="12" borderId="0" xfId="0" applyFont="1" applyFill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13" borderId="0" xfId="0" applyFont="1" applyFill="1" applyAlignment="1">
      <alignment horizontal="center"/>
    </xf>
    <xf numFmtId="0" fontId="3" fillId="14" borderId="0" xfId="0" applyFont="1" applyFill="1" applyAlignment="1">
      <alignment horizontal="center" vertical="center"/>
    </xf>
    <xf numFmtId="0" fontId="7" fillId="15" borderId="1" xfId="0" applyFont="1" applyFill="1" applyBorder="1"/>
    <xf numFmtId="0" fontId="8" fillId="4" borderId="1" xfId="0" applyFont="1" applyFill="1" applyBorder="1" applyAlignment="1">
      <alignment horizontal="center" vertical="center"/>
    </xf>
    <xf numFmtId="0" fontId="9" fillId="16" borderId="0" xfId="0" applyFont="1" applyFill="1" applyAlignment="1">
      <alignment horizontal="center" vertical="center"/>
    </xf>
    <xf numFmtId="0" fontId="0" fillId="0" borderId="1" xfId="0" applyBorder="1"/>
    <xf numFmtId="0" fontId="10" fillId="17" borderId="0" xfId="0" applyFont="1" applyFill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18" borderId="1" xfId="0" applyFont="1" applyFill="1" applyBorder="1" applyAlignment="1">
      <alignment horizontal="center" vertical="center"/>
    </xf>
    <xf numFmtId="0" fontId="11" fillId="0" borderId="0" xfId="0" applyFont="1"/>
    <xf numFmtId="0" fontId="10" fillId="13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top"/>
    </xf>
    <xf numFmtId="0" fontId="12" fillId="19" borderId="1" xfId="0" applyFont="1" applyFill="1" applyBorder="1" applyAlignment="1">
      <alignment horizontal="center" vertical="center"/>
    </xf>
    <xf numFmtId="0" fontId="4" fillId="16" borderId="0" xfId="0" applyFont="1" applyFill="1" applyAlignment="1">
      <alignment horizontal="center"/>
    </xf>
    <xf numFmtId="0" fontId="13" fillId="3" borderId="0" xfId="0" applyFont="1" applyFill="1" applyAlignment="1">
      <alignment horizontal="center" vertical="center"/>
    </xf>
    <xf numFmtId="0" fontId="14" fillId="20" borderId="0" xfId="0" applyFont="1" applyFill="1" applyAlignment="1">
      <alignment horizontal="center"/>
    </xf>
    <xf numFmtId="0" fontId="15" fillId="11" borderId="0" xfId="0" applyFont="1" applyFill="1" applyAlignment="1">
      <alignment horizontal="center"/>
    </xf>
    <xf numFmtId="0" fontId="6" fillId="21" borderId="0" xfId="0" applyFont="1" applyFill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44" fontId="0" fillId="0" borderId="1" xfId="1" applyFont="1" applyBorder="1" applyAlignment="1">
      <alignment horizontal="center" vertical="center"/>
    </xf>
    <xf numFmtId="44" fontId="0" fillId="0" borderId="6" xfId="0" applyNumberFormat="1" applyBorder="1" applyAlignment="1">
      <alignment horizontal="center"/>
    </xf>
    <xf numFmtId="44" fontId="0" fillId="0" borderId="8" xfId="0" applyNumberFormat="1" applyBorder="1" applyAlignment="1">
      <alignment horizontal="center"/>
    </xf>
    <xf numFmtId="44" fontId="0" fillId="0" borderId="7" xfId="0" applyNumberFormat="1" applyBorder="1" applyAlignment="1">
      <alignment horizontal="center"/>
    </xf>
    <xf numFmtId="44" fontId="0" fillId="0" borderId="1" xfId="1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D230E-A4B7-479B-92FB-EC3336B68443}">
  <dimension ref="C2:L149"/>
  <sheetViews>
    <sheetView tabSelected="1" zoomScale="46" zoomScaleNormal="82" workbookViewId="0">
      <selection activeCell="K28" sqref="K28"/>
    </sheetView>
  </sheetViews>
  <sheetFormatPr defaultRowHeight="14.4" x14ac:dyDescent="0.3"/>
  <cols>
    <col min="3" max="3" width="13.6640625" bestFit="1" customWidth="1"/>
    <col min="4" max="4" width="14.109375" bestFit="1" customWidth="1"/>
    <col min="5" max="6" width="12.6640625" bestFit="1" customWidth="1"/>
    <col min="7" max="7" width="15.44140625" bestFit="1" customWidth="1"/>
    <col min="8" max="8" width="14.88671875" customWidth="1"/>
    <col min="9" max="9" width="13.44140625" customWidth="1"/>
  </cols>
  <sheetData>
    <row r="2" spans="3:11" x14ac:dyDescent="0.3">
      <c r="C2" s="1"/>
      <c r="D2" s="1"/>
      <c r="E2" s="2" t="s">
        <v>0</v>
      </c>
      <c r="F2" s="2"/>
      <c r="G2" s="1"/>
      <c r="H2" s="1"/>
    </row>
    <row r="3" spans="3:11" x14ac:dyDescent="0.3">
      <c r="C3" s="1" t="s">
        <v>1</v>
      </c>
      <c r="D3" s="3" t="s">
        <v>2</v>
      </c>
      <c r="E3" s="3"/>
      <c r="F3" s="3"/>
      <c r="G3" s="3"/>
      <c r="H3" s="1"/>
    </row>
    <row r="4" spans="3:11" x14ac:dyDescent="0.3">
      <c r="C4" s="1" t="s">
        <v>3</v>
      </c>
      <c r="D4" s="4">
        <v>44562</v>
      </c>
      <c r="E4" s="4">
        <v>44927</v>
      </c>
      <c r="F4" s="4">
        <v>45292</v>
      </c>
      <c r="G4" s="5" t="s">
        <v>4</v>
      </c>
      <c r="H4" s="1"/>
    </row>
    <row r="5" spans="3:11" x14ac:dyDescent="0.3">
      <c r="C5" s="1" t="s">
        <v>5</v>
      </c>
      <c r="D5" s="6">
        <v>500000</v>
      </c>
      <c r="E5" s="6">
        <v>600000</v>
      </c>
      <c r="F5" s="6">
        <v>569845</v>
      </c>
      <c r="G5" s="7">
        <f>SUM(D5:F5)</f>
        <v>1669845</v>
      </c>
      <c r="H5" s="1"/>
    </row>
    <row r="6" spans="3:11" x14ac:dyDescent="0.3">
      <c r="C6" s="1" t="s">
        <v>6</v>
      </c>
      <c r="D6" s="6">
        <v>600000</v>
      </c>
      <c r="E6" s="6">
        <v>635000</v>
      </c>
      <c r="F6" s="6">
        <v>657489</v>
      </c>
      <c r="G6" s="7">
        <f t="shared" ref="G6:G9" si="0">SUM(D6:F6)</f>
        <v>1892489</v>
      </c>
      <c r="H6" s="1"/>
    </row>
    <row r="7" spans="3:11" x14ac:dyDescent="0.3">
      <c r="C7" s="1" t="s">
        <v>7</v>
      </c>
      <c r="D7" s="6">
        <v>650000</v>
      </c>
      <c r="E7" s="6">
        <v>756120</v>
      </c>
      <c r="F7" s="6">
        <v>689420</v>
      </c>
      <c r="G7" s="7">
        <f t="shared" si="0"/>
        <v>2095540</v>
      </c>
      <c r="H7" s="1"/>
    </row>
    <row r="8" spans="3:11" x14ac:dyDescent="0.3">
      <c r="C8" s="1" t="s">
        <v>8</v>
      </c>
      <c r="D8" s="6">
        <v>654000</v>
      </c>
      <c r="E8" s="6">
        <v>562140</v>
      </c>
      <c r="F8" s="6">
        <v>756230</v>
      </c>
      <c r="G8" s="7">
        <f t="shared" si="0"/>
        <v>1972370</v>
      </c>
      <c r="H8" s="1"/>
    </row>
    <row r="9" spans="3:11" x14ac:dyDescent="0.3">
      <c r="C9" s="1" t="s">
        <v>9</v>
      </c>
      <c r="D9" s="6">
        <v>720000</v>
      </c>
      <c r="E9" s="6">
        <v>654862</v>
      </c>
      <c r="F9" s="6">
        <v>489657</v>
      </c>
      <c r="G9" s="7">
        <f t="shared" si="0"/>
        <v>1864519</v>
      </c>
      <c r="H9" s="1"/>
    </row>
    <row r="10" spans="3:11" x14ac:dyDescent="0.3">
      <c r="C10" s="1"/>
      <c r="D10" s="1"/>
      <c r="E10" s="1"/>
      <c r="F10" s="1"/>
      <c r="G10" s="1"/>
      <c r="H10" s="1"/>
    </row>
    <row r="11" spans="3:11" x14ac:dyDescent="0.3">
      <c r="C11" s="1"/>
      <c r="D11" s="8" t="s">
        <v>10</v>
      </c>
      <c r="E11" s="9"/>
      <c r="F11" s="10"/>
      <c r="G11" s="11">
        <f>MAX(G5:G9)</f>
        <v>2095540</v>
      </c>
      <c r="H11" s="12">
        <f>MIN(G5:G9)</f>
        <v>1669845</v>
      </c>
      <c r="I11" s="13" t="s">
        <v>11</v>
      </c>
      <c r="J11" s="14"/>
      <c r="K11" s="14"/>
    </row>
    <row r="13" spans="3:11" x14ac:dyDescent="0.3">
      <c r="E13" s="15" t="s">
        <v>12</v>
      </c>
      <c r="F13" s="15"/>
      <c r="I13" s="16" t="s">
        <v>11</v>
      </c>
      <c r="J13" s="16"/>
      <c r="K13" s="16"/>
    </row>
    <row r="14" spans="3:11" x14ac:dyDescent="0.3">
      <c r="E14" s="15"/>
      <c r="F14" s="15"/>
      <c r="I14" s="16"/>
      <c r="J14" s="16"/>
      <c r="K14" s="16"/>
    </row>
    <row r="15" spans="3:11" x14ac:dyDescent="0.3">
      <c r="C15" s="17"/>
      <c r="D15" s="17"/>
      <c r="E15" s="17"/>
      <c r="F15" s="17"/>
      <c r="G15" s="17"/>
      <c r="H15" s="17"/>
    </row>
    <row r="17" spans="3:12" x14ac:dyDescent="0.3">
      <c r="C17" s="18" t="s">
        <v>13</v>
      </c>
      <c r="D17" s="18"/>
      <c r="E17" s="18"/>
      <c r="F17" s="18"/>
      <c r="G17" s="18"/>
    </row>
    <row r="19" spans="3:12" ht="14.4" customHeight="1" x14ac:dyDescent="0.3">
      <c r="D19" s="19" t="s">
        <v>1</v>
      </c>
      <c r="E19" s="20" t="s">
        <v>14</v>
      </c>
      <c r="F19" s="21" t="s">
        <v>15</v>
      </c>
    </row>
    <row r="20" spans="3:12" ht="14.4" customHeight="1" x14ac:dyDescent="0.3">
      <c r="D20" s="22"/>
      <c r="E20" s="20"/>
      <c r="F20" s="21"/>
      <c r="I20" s="23">
        <v>20</v>
      </c>
      <c r="J20" s="23">
        <v>56</v>
      </c>
      <c r="K20" s="23"/>
    </row>
    <row r="21" spans="3:12" x14ac:dyDescent="0.3">
      <c r="D21" s="1">
        <v>5</v>
      </c>
      <c r="E21" s="3">
        <f>COUNT(D20:D28)</f>
        <v>3</v>
      </c>
      <c r="F21" s="3">
        <f>COUNTA(D20:D28)</f>
        <v>8</v>
      </c>
      <c r="I21" s="23">
        <v>56</v>
      </c>
      <c r="J21" s="23"/>
      <c r="K21" s="23"/>
    </row>
    <row r="22" spans="3:12" x14ac:dyDescent="0.3">
      <c r="D22" s="1" t="s">
        <v>5</v>
      </c>
      <c r="E22" s="3"/>
      <c r="F22" s="3"/>
      <c r="I22" s="23">
        <v>89</v>
      </c>
      <c r="J22" s="23">
        <v>78</v>
      </c>
      <c r="K22" s="23">
        <v>45</v>
      </c>
    </row>
    <row r="23" spans="3:12" x14ac:dyDescent="0.3">
      <c r="D23" s="1">
        <v>8</v>
      </c>
      <c r="E23" s="3"/>
      <c r="F23" s="3"/>
      <c r="I23" s="23"/>
      <c r="J23" s="23">
        <v>52</v>
      </c>
      <c r="K23" s="23"/>
    </row>
    <row r="24" spans="3:12" x14ac:dyDescent="0.3">
      <c r="D24" s="1" t="s">
        <v>6</v>
      </c>
      <c r="E24" s="3"/>
      <c r="F24" s="3"/>
      <c r="I24" s="23">
        <v>56</v>
      </c>
      <c r="J24" s="23">
        <v>85</v>
      </c>
      <c r="K24" s="23">
        <v>45</v>
      </c>
    </row>
    <row r="25" spans="3:12" x14ac:dyDescent="0.3">
      <c r="D25" s="1" t="s">
        <v>7</v>
      </c>
      <c r="E25" s="3"/>
      <c r="F25" s="3"/>
      <c r="I25" s="23">
        <v>52</v>
      </c>
      <c r="J25" s="23">
        <v>56</v>
      </c>
      <c r="K25" s="23"/>
    </row>
    <row r="26" spans="3:12" x14ac:dyDescent="0.3">
      <c r="D26" s="1">
        <v>9</v>
      </c>
      <c r="E26" s="3"/>
      <c r="F26" s="3"/>
      <c r="I26" s="23"/>
      <c r="J26" s="23"/>
      <c r="K26" s="23">
        <v>89</v>
      </c>
    </row>
    <row r="27" spans="3:12" x14ac:dyDescent="0.3">
      <c r="D27" s="1" t="s">
        <v>8</v>
      </c>
      <c r="E27" s="3"/>
      <c r="F27" s="3"/>
    </row>
    <row r="28" spans="3:12" x14ac:dyDescent="0.3">
      <c r="D28" s="1" t="s">
        <v>9</v>
      </c>
      <c r="E28" s="3"/>
      <c r="F28" s="3"/>
      <c r="H28" s="24" t="s">
        <v>16</v>
      </c>
      <c r="I28" s="24"/>
      <c r="J28" s="24"/>
      <c r="K28" s="25">
        <f>COUNT(I20:K26)</f>
        <v>13</v>
      </c>
      <c r="L28" t="s">
        <v>17</v>
      </c>
    </row>
    <row r="31" spans="3:12" x14ac:dyDescent="0.3">
      <c r="D31" s="26" t="s">
        <v>18</v>
      </c>
      <c r="E31" s="26"/>
      <c r="F31" s="26"/>
      <c r="G31" s="26"/>
      <c r="H31" s="26"/>
      <c r="I31" s="26"/>
      <c r="J31" s="26"/>
      <c r="K31" s="26"/>
    </row>
    <row r="32" spans="3:12" x14ac:dyDescent="0.3">
      <c r="D32" s="26"/>
      <c r="E32" s="26"/>
      <c r="F32" s="26"/>
      <c r="G32" s="26"/>
      <c r="H32" s="26"/>
      <c r="I32" s="26"/>
      <c r="J32" s="26"/>
      <c r="K32" s="26"/>
    </row>
    <row r="34" spans="4:11" ht="17.399999999999999" x14ac:dyDescent="0.3">
      <c r="E34" s="27" t="s">
        <v>19</v>
      </c>
      <c r="F34" s="27" t="s">
        <v>20</v>
      </c>
      <c r="G34" s="27" t="s">
        <v>21</v>
      </c>
    </row>
    <row r="35" spans="4:11" x14ac:dyDescent="0.3">
      <c r="E35" s="1" t="s">
        <v>22</v>
      </c>
      <c r="F35" s="1">
        <v>21</v>
      </c>
      <c r="G35" s="28">
        <f>AVERAGE(F35:F42)</f>
        <v>21.5</v>
      </c>
    </row>
    <row r="36" spans="4:11" x14ac:dyDescent="0.3">
      <c r="E36" s="1" t="s">
        <v>23</v>
      </c>
      <c r="F36" s="1">
        <v>21</v>
      </c>
      <c r="G36" s="29"/>
    </row>
    <row r="37" spans="4:11" x14ac:dyDescent="0.3">
      <c r="E37" s="1" t="s">
        <v>24</v>
      </c>
      <c r="F37" s="1">
        <v>21</v>
      </c>
      <c r="G37" s="29"/>
    </row>
    <row r="38" spans="4:11" x14ac:dyDescent="0.3">
      <c r="E38" s="1" t="s">
        <v>25</v>
      </c>
      <c r="F38" s="1">
        <v>22</v>
      </c>
      <c r="G38" s="29"/>
    </row>
    <row r="39" spans="4:11" x14ac:dyDescent="0.3">
      <c r="E39" s="1" t="s">
        <v>26</v>
      </c>
      <c r="F39" s="1">
        <v>23</v>
      </c>
      <c r="G39" s="29"/>
    </row>
    <row r="40" spans="4:11" x14ac:dyDescent="0.3">
      <c r="E40" s="1" t="s">
        <v>27</v>
      </c>
      <c r="F40" s="1">
        <v>25</v>
      </c>
      <c r="G40" s="29"/>
    </row>
    <row r="41" spans="4:11" x14ac:dyDescent="0.3">
      <c r="E41" s="1" t="s">
        <v>28</v>
      </c>
      <c r="F41" s="1">
        <v>20</v>
      </c>
      <c r="G41" s="29"/>
    </row>
    <row r="42" spans="4:11" x14ac:dyDescent="0.3">
      <c r="E42" s="1" t="s">
        <v>29</v>
      </c>
      <c r="F42" s="1">
        <v>19</v>
      </c>
      <c r="G42" s="30"/>
    </row>
    <row r="43" spans="4:11" x14ac:dyDescent="0.3">
      <c r="E43" s="31"/>
      <c r="F43" s="31"/>
      <c r="G43" s="31"/>
    </row>
    <row r="44" spans="4:11" x14ac:dyDescent="0.3">
      <c r="E44" s="31"/>
      <c r="F44" s="31"/>
      <c r="G44" s="31"/>
    </row>
    <row r="45" spans="4:11" x14ac:dyDescent="0.3">
      <c r="E45" s="31"/>
      <c r="F45" s="31"/>
      <c r="G45" s="31"/>
    </row>
    <row r="47" spans="4:11" x14ac:dyDescent="0.3">
      <c r="D47" s="32" t="s">
        <v>30</v>
      </c>
      <c r="E47" s="32"/>
      <c r="F47" s="32"/>
      <c r="G47" s="32"/>
      <c r="H47" s="32"/>
      <c r="I47" s="32"/>
      <c r="J47" s="32"/>
      <c r="K47" s="32"/>
    </row>
    <row r="48" spans="4:11" x14ac:dyDescent="0.3">
      <c r="D48" s="32"/>
      <c r="E48" s="32"/>
      <c r="F48" s="32"/>
      <c r="G48" s="32"/>
      <c r="H48" s="32"/>
      <c r="I48" s="32"/>
      <c r="J48" s="32"/>
      <c r="K48" s="32"/>
    </row>
    <row r="50" spans="4:11" x14ac:dyDescent="0.3">
      <c r="D50" s="33" t="s">
        <v>31</v>
      </c>
      <c r="E50" s="33"/>
      <c r="F50" s="33"/>
      <c r="G50" s="33"/>
      <c r="H50" s="33"/>
      <c r="I50" s="33"/>
      <c r="J50" s="33"/>
      <c r="K50" s="33"/>
    </row>
    <row r="52" spans="4:11" ht="18" x14ac:dyDescent="0.35">
      <c r="E52" s="34" t="s">
        <v>19</v>
      </c>
      <c r="F52" s="34" t="s">
        <v>32</v>
      </c>
      <c r="G52" s="34" t="s">
        <v>33</v>
      </c>
    </row>
    <row r="53" spans="4:11" ht="15.6" x14ac:dyDescent="0.3">
      <c r="E53" s="1" t="s">
        <v>34</v>
      </c>
      <c r="F53" s="1">
        <v>17</v>
      </c>
      <c r="G53" s="35" t="str">
        <f>IF(F53&gt;=18,"YES", " NO")</f>
        <v xml:space="preserve"> NO</v>
      </c>
    </row>
    <row r="54" spans="4:11" ht="15.6" x14ac:dyDescent="0.3">
      <c r="E54" s="1" t="s">
        <v>25</v>
      </c>
      <c r="F54" s="1">
        <v>21</v>
      </c>
      <c r="G54" s="35" t="str">
        <f t="shared" ref="G54:G59" si="1">IF(F54&gt;=18,"YES", " NO")</f>
        <v>YES</v>
      </c>
    </row>
    <row r="55" spans="4:11" ht="15.6" x14ac:dyDescent="0.3">
      <c r="E55" s="1" t="s">
        <v>35</v>
      </c>
      <c r="F55" s="1">
        <v>20</v>
      </c>
      <c r="G55" s="35" t="str">
        <f t="shared" si="1"/>
        <v>YES</v>
      </c>
      <c r="I55" s="36" t="s">
        <v>36</v>
      </c>
      <c r="J55" s="36"/>
      <c r="K55" s="36"/>
    </row>
    <row r="56" spans="4:11" ht="15.6" x14ac:dyDescent="0.3">
      <c r="E56" s="1" t="s">
        <v>37</v>
      </c>
      <c r="F56" s="1">
        <v>16</v>
      </c>
      <c r="G56" s="35" t="str">
        <f t="shared" si="1"/>
        <v xml:space="preserve"> NO</v>
      </c>
      <c r="I56" s="36"/>
      <c r="J56" s="36"/>
      <c r="K56" s="36"/>
    </row>
    <row r="57" spans="4:11" ht="15.6" x14ac:dyDescent="0.3">
      <c r="E57" s="1" t="s">
        <v>26</v>
      </c>
      <c r="F57" s="1">
        <v>25</v>
      </c>
      <c r="G57" s="35" t="str">
        <f t="shared" si="1"/>
        <v>YES</v>
      </c>
      <c r="I57" s="36"/>
      <c r="J57" s="36"/>
      <c r="K57" s="36"/>
    </row>
    <row r="58" spans="4:11" ht="15.6" x14ac:dyDescent="0.3">
      <c r="E58" s="1" t="s">
        <v>38</v>
      </c>
      <c r="F58" s="1">
        <v>18</v>
      </c>
      <c r="G58" s="35" t="str">
        <f t="shared" si="1"/>
        <v>YES</v>
      </c>
    </row>
    <row r="59" spans="4:11" ht="15.6" x14ac:dyDescent="0.3">
      <c r="E59" s="1" t="s">
        <v>39</v>
      </c>
      <c r="F59" s="1">
        <v>19</v>
      </c>
      <c r="G59" s="35" t="str">
        <f t="shared" si="1"/>
        <v>YES</v>
      </c>
    </row>
    <row r="60" spans="4:11" x14ac:dyDescent="0.3">
      <c r="E60" s="37"/>
      <c r="F60" s="37"/>
      <c r="G60" s="37"/>
      <c r="I60" s="38" t="s">
        <v>40</v>
      </c>
      <c r="J60" s="38"/>
      <c r="K60" s="38"/>
    </row>
    <row r="61" spans="4:11" ht="18" x14ac:dyDescent="0.35">
      <c r="E61" s="39" t="s">
        <v>41</v>
      </c>
      <c r="F61" s="40"/>
      <c r="G61" s="41">
        <f>COUNTIF(F53:F59,"&gt;=18")</f>
        <v>5</v>
      </c>
      <c r="H61" s="42" t="s">
        <v>42</v>
      </c>
      <c r="I61" s="38"/>
      <c r="J61" s="38"/>
      <c r="K61" s="38"/>
    </row>
    <row r="62" spans="4:11" x14ac:dyDescent="0.3">
      <c r="E62" s="37"/>
      <c r="F62" s="37"/>
      <c r="G62" s="37"/>
      <c r="I62" s="38"/>
      <c r="J62" s="38"/>
      <c r="K62" s="38"/>
    </row>
    <row r="63" spans="4:11" x14ac:dyDescent="0.3">
      <c r="E63" s="37"/>
      <c r="F63" s="37"/>
      <c r="G63" s="37"/>
    </row>
    <row r="65" spans="4:12" x14ac:dyDescent="0.3">
      <c r="D65" s="43" t="s">
        <v>43</v>
      </c>
      <c r="E65" s="43"/>
      <c r="F65" s="43"/>
      <c r="G65" s="43"/>
      <c r="H65" s="43"/>
      <c r="I65" s="43"/>
      <c r="J65" s="43"/>
    </row>
    <row r="66" spans="4:12" x14ac:dyDescent="0.3">
      <c r="D66" s="43"/>
      <c r="E66" s="43"/>
      <c r="F66" s="43"/>
      <c r="G66" s="43"/>
      <c r="H66" s="43"/>
      <c r="I66" s="43"/>
      <c r="J66" s="43"/>
    </row>
    <row r="68" spans="4:12" ht="14.4" customHeight="1" x14ac:dyDescent="0.3">
      <c r="D68" s="44" t="s">
        <v>44</v>
      </c>
      <c r="E68" s="44"/>
      <c r="F68" s="44"/>
      <c r="G68" s="44"/>
      <c r="H68" s="44"/>
      <c r="I68" s="44"/>
      <c r="J68" s="44"/>
      <c r="K68" s="45"/>
    </row>
    <row r="69" spans="4:12" ht="14.4" customHeight="1" x14ac:dyDescent="0.3">
      <c r="D69" s="44"/>
      <c r="E69" s="44"/>
      <c r="F69" s="44"/>
      <c r="G69" s="44"/>
      <c r="H69" s="44"/>
      <c r="I69" s="44"/>
      <c r="J69" s="44"/>
      <c r="K69" s="45"/>
    </row>
    <row r="70" spans="4:12" ht="14.4" customHeight="1" x14ac:dyDescent="0.3">
      <c r="D70" s="45"/>
      <c r="E70" s="45"/>
      <c r="F70" s="45"/>
      <c r="G70" s="45"/>
      <c r="H70" s="45"/>
      <c r="I70" s="45"/>
      <c r="J70" s="45"/>
      <c r="K70" s="45"/>
    </row>
    <row r="72" spans="4:12" ht="16.8" customHeight="1" x14ac:dyDescent="0.3"/>
    <row r="73" spans="4:12" ht="23.4" customHeight="1" x14ac:dyDescent="0.3">
      <c r="D73" s="46" t="s">
        <v>45</v>
      </c>
      <c r="E73" s="46" t="s">
        <v>46</v>
      </c>
      <c r="F73" s="46" t="s">
        <v>47</v>
      </c>
      <c r="G73" s="46" t="s">
        <v>48</v>
      </c>
    </row>
    <row r="74" spans="4:12" x14ac:dyDescent="0.3">
      <c r="D74" s="1" t="s">
        <v>34</v>
      </c>
      <c r="E74" s="1">
        <v>3.5</v>
      </c>
      <c r="F74" s="1" t="s">
        <v>49</v>
      </c>
      <c r="G74" s="37" t="str">
        <f>IF(E74 &gt;=4.5,IF(F74 ="full-time","yes","no" ),"NO")</f>
        <v>NO</v>
      </c>
    </row>
    <row r="75" spans="4:12" x14ac:dyDescent="0.3">
      <c r="D75" s="1" t="s">
        <v>25</v>
      </c>
      <c r="E75" s="1">
        <v>7</v>
      </c>
      <c r="F75" s="1" t="s">
        <v>50</v>
      </c>
      <c r="G75" s="37" t="str">
        <f t="shared" ref="G75:G78" si="2">IF(E75 &gt;=4.5,IF(F75 ="full-time","yes","no" ),"NO")</f>
        <v>no</v>
      </c>
      <c r="I75" s="47" t="s">
        <v>51</v>
      </c>
      <c r="J75" s="47"/>
      <c r="K75" s="47"/>
      <c r="L75" s="47"/>
    </row>
    <row r="76" spans="4:12" x14ac:dyDescent="0.3">
      <c r="D76" s="1" t="s">
        <v>35</v>
      </c>
      <c r="E76" s="1">
        <v>5.5</v>
      </c>
      <c r="F76" s="1" t="s">
        <v>49</v>
      </c>
      <c r="G76" s="37" t="str">
        <f t="shared" si="2"/>
        <v>yes</v>
      </c>
      <c r="I76" s="47"/>
      <c r="J76" s="47"/>
      <c r="K76" s="47"/>
      <c r="L76" s="47"/>
    </row>
    <row r="77" spans="4:12" x14ac:dyDescent="0.3">
      <c r="D77" s="1" t="s">
        <v>37</v>
      </c>
      <c r="E77" s="1">
        <v>2</v>
      </c>
      <c r="F77" s="1" t="s">
        <v>49</v>
      </c>
      <c r="G77" s="37" t="str">
        <f t="shared" si="2"/>
        <v>NO</v>
      </c>
    </row>
    <row r="78" spans="4:12" x14ac:dyDescent="0.3">
      <c r="D78" s="1" t="s">
        <v>26</v>
      </c>
      <c r="E78" s="1">
        <v>5</v>
      </c>
      <c r="F78" s="1" t="s">
        <v>50</v>
      </c>
      <c r="G78" s="37" t="str">
        <f t="shared" si="2"/>
        <v>no</v>
      </c>
    </row>
    <row r="94" spans="4:9" x14ac:dyDescent="0.3">
      <c r="D94" s="48" t="s">
        <v>52</v>
      </c>
      <c r="E94" s="48"/>
      <c r="F94" s="48"/>
      <c r="G94" s="48"/>
      <c r="H94" s="48"/>
      <c r="I94" s="48"/>
    </row>
    <row r="95" spans="4:9" x14ac:dyDescent="0.3">
      <c r="D95" s="48"/>
      <c r="E95" s="48"/>
      <c r="F95" s="48"/>
      <c r="G95" s="48"/>
      <c r="H95" s="48"/>
      <c r="I95" s="48"/>
    </row>
    <row r="98" spans="4:8" x14ac:dyDescent="0.3">
      <c r="D98" s="1" t="s">
        <v>19</v>
      </c>
      <c r="E98" s="1" t="s">
        <v>53</v>
      </c>
      <c r="F98" s="1" t="s">
        <v>54</v>
      </c>
      <c r="G98" s="1" t="s">
        <v>55</v>
      </c>
      <c r="H98" s="1" t="s">
        <v>56</v>
      </c>
    </row>
    <row r="99" spans="4:8" x14ac:dyDescent="0.3">
      <c r="D99" s="1" t="s">
        <v>34</v>
      </c>
      <c r="E99" s="1" t="s">
        <v>57</v>
      </c>
      <c r="F99" s="1">
        <v>10</v>
      </c>
      <c r="G99" s="3">
        <f>SUMIF(E99:E103,"green",F99:F103)</f>
        <v>42</v>
      </c>
      <c r="H99" s="28">
        <f>SUMIF(E99:E103,"yellow",F99:F103)</f>
        <v>35</v>
      </c>
    </row>
    <row r="100" spans="4:8" x14ac:dyDescent="0.3">
      <c r="D100" s="1" t="s">
        <v>25</v>
      </c>
      <c r="E100" s="1" t="s">
        <v>58</v>
      </c>
      <c r="F100" s="1">
        <v>45</v>
      </c>
      <c r="G100" s="3"/>
      <c r="H100" s="29"/>
    </row>
    <row r="101" spans="4:8" x14ac:dyDescent="0.3">
      <c r="D101" s="1" t="s">
        <v>35</v>
      </c>
      <c r="E101" s="1" t="s">
        <v>57</v>
      </c>
      <c r="F101" s="1">
        <v>25</v>
      </c>
      <c r="G101" s="3"/>
      <c r="H101" s="29"/>
    </row>
    <row r="102" spans="4:8" x14ac:dyDescent="0.3">
      <c r="D102" s="1" t="s">
        <v>37</v>
      </c>
      <c r="E102" s="1" t="s">
        <v>59</v>
      </c>
      <c r="F102" s="1">
        <v>30</v>
      </c>
      <c r="G102" s="3"/>
      <c r="H102" s="29"/>
    </row>
    <row r="103" spans="4:8" x14ac:dyDescent="0.3">
      <c r="D103" s="1" t="s">
        <v>26</v>
      </c>
      <c r="E103" s="1" t="s">
        <v>59</v>
      </c>
      <c r="F103" s="1">
        <v>12</v>
      </c>
      <c r="G103" s="3"/>
      <c r="H103" s="30"/>
    </row>
    <row r="110" spans="4:8" x14ac:dyDescent="0.3">
      <c r="D110" s="49" t="s">
        <v>60</v>
      </c>
      <c r="E110" s="49"/>
      <c r="F110" s="49"/>
      <c r="G110" s="49"/>
      <c r="H110" s="49"/>
    </row>
    <row r="111" spans="4:8" x14ac:dyDescent="0.3">
      <c r="D111" s="49"/>
      <c r="E111" s="49"/>
      <c r="F111" s="49"/>
      <c r="G111" s="49"/>
      <c r="H111" s="49"/>
    </row>
    <row r="113" spans="4:9" ht="21" x14ac:dyDescent="0.4">
      <c r="D113" s="50" t="s">
        <v>61</v>
      </c>
      <c r="E113" s="50"/>
      <c r="F113" s="50"/>
      <c r="G113" s="50"/>
      <c r="H113" s="50"/>
    </row>
    <row r="115" spans="4:9" x14ac:dyDescent="0.3">
      <c r="D115" s="1" t="s">
        <v>62</v>
      </c>
      <c r="E115" s="1" t="s">
        <v>63</v>
      </c>
      <c r="F115" s="1" t="s">
        <v>64</v>
      </c>
      <c r="G115" s="1" t="s">
        <v>65</v>
      </c>
      <c r="H115" s="1" t="s">
        <v>66</v>
      </c>
      <c r="I115" s="1" t="s">
        <v>67</v>
      </c>
    </row>
    <row r="116" spans="4:9" x14ac:dyDescent="0.3">
      <c r="D116" s="1" t="s">
        <v>22</v>
      </c>
      <c r="E116" s="1">
        <v>70</v>
      </c>
      <c r="F116" s="1" t="s">
        <v>68</v>
      </c>
      <c r="G116" s="28">
        <f>AVERAGEIF(F116:F125,"khi",E116:E125)</f>
        <v>50.666666666666664</v>
      </c>
      <c r="H116" s="28">
        <f>AVERAGEIF(F116:F125,"klm",E116:E125)</f>
        <v>54</v>
      </c>
      <c r="I116" s="28">
        <f>AVERAGEIF(F116:F125,"tvm",E116:E125)</f>
        <v>55.333333333333336</v>
      </c>
    </row>
    <row r="117" spans="4:9" x14ac:dyDescent="0.3">
      <c r="D117" s="1" t="s">
        <v>23</v>
      </c>
      <c r="E117" s="1">
        <v>55</v>
      </c>
      <c r="F117" s="1" t="s">
        <v>69</v>
      </c>
      <c r="G117" s="29"/>
      <c r="H117" s="29"/>
      <c r="I117" s="29"/>
    </row>
    <row r="118" spans="4:9" x14ac:dyDescent="0.3">
      <c r="D118" s="1" t="s">
        <v>24</v>
      </c>
      <c r="E118" s="1">
        <v>45</v>
      </c>
      <c r="F118" s="1" t="s">
        <v>70</v>
      </c>
      <c r="G118" s="29"/>
      <c r="H118" s="29"/>
      <c r="I118" s="29"/>
    </row>
    <row r="119" spans="4:9" x14ac:dyDescent="0.3">
      <c r="D119" s="1" t="s">
        <v>25</v>
      </c>
      <c r="E119" s="1">
        <v>65</v>
      </c>
      <c r="F119" s="1" t="s">
        <v>70</v>
      </c>
      <c r="G119" s="29"/>
      <c r="H119" s="29"/>
      <c r="I119" s="29"/>
    </row>
    <row r="120" spans="4:9" x14ac:dyDescent="0.3">
      <c r="D120" s="1" t="s">
        <v>26</v>
      </c>
      <c r="E120" s="1">
        <v>63</v>
      </c>
      <c r="F120" s="1" t="s">
        <v>68</v>
      </c>
      <c r="G120" s="29"/>
      <c r="H120" s="29"/>
      <c r="I120" s="29"/>
    </row>
    <row r="121" spans="4:9" x14ac:dyDescent="0.3">
      <c r="D121" s="1" t="s">
        <v>27</v>
      </c>
      <c r="E121" s="1">
        <v>54</v>
      </c>
      <c r="F121" s="1" t="s">
        <v>68</v>
      </c>
      <c r="G121" s="29"/>
      <c r="H121" s="29"/>
      <c r="I121" s="29"/>
    </row>
    <row r="122" spans="4:9" x14ac:dyDescent="0.3">
      <c r="D122" s="1" t="s">
        <v>28</v>
      </c>
      <c r="E122" s="1">
        <v>85</v>
      </c>
      <c r="F122" s="1" t="s">
        <v>69</v>
      </c>
      <c r="G122" s="29"/>
      <c r="H122" s="29"/>
      <c r="I122" s="29"/>
    </row>
    <row r="123" spans="4:9" x14ac:dyDescent="0.3">
      <c r="D123" s="1" t="s">
        <v>29</v>
      </c>
      <c r="E123" s="1">
        <v>56</v>
      </c>
      <c r="F123" s="1" t="s">
        <v>70</v>
      </c>
      <c r="G123" s="29"/>
      <c r="H123" s="29"/>
      <c r="I123" s="29"/>
    </row>
    <row r="124" spans="4:9" x14ac:dyDescent="0.3">
      <c r="D124" s="1" t="s">
        <v>37</v>
      </c>
      <c r="E124" s="1">
        <v>12</v>
      </c>
      <c r="F124" s="1" t="s">
        <v>69</v>
      </c>
      <c r="G124" s="29"/>
      <c r="H124" s="29"/>
      <c r="I124" s="29"/>
    </row>
    <row r="125" spans="4:9" x14ac:dyDescent="0.3">
      <c r="D125" s="1" t="s">
        <v>26</v>
      </c>
      <c r="E125" s="1">
        <v>29</v>
      </c>
      <c r="F125" s="1" t="s">
        <v>68</v>
      </c>
      <c r="G125" s="30"/>
      <c r="H125" s="30"/>
      <c r="I125" s="30"/>
    </row>
    <row r="134" spans="4:8" x14ac:dyDescent="0.3">
      <c r="D134" s="51" t="s">
        <v>71</v>
      </c>
      <c r="E134" s="51"/>
      <c r="F134" s="51"/>
      <c r="G134" s="51"/>
      <c r="H134" s="51"/>
    </row>
    <row r="135" spans="4:8" x14ac:dyDescent="0.3">
      <c r="D135" s="51"/>
      <c r="E135" s="51"/>
      <c r="F135" s="51"/>
      <c r="G135" s="51"/>
      <c r="H135" s="51"/>
    </row>
    <row r="137" spans="4:8" x14ac:dyDescent="0.3">
      <c r="D137" s="17" t="s">
        <v>72</v>
      </c>
      <c r="E137" s="17"/>
      <c r="F137" s="17"/>
      <c r="G137" s="17"/>
      <c r="H137" s="17"/>
    </row>
    <row r="139" spans="4:8" x14ac:dyDescent="0.3">
      <c r="D139" s="1" t="s">
        <v>62</v>
      </c>
      <c r="E139" s="1" t="s">
        <v>63</v>
      </c>
      <c r="F139" s="1" t="s">
        <v>64</v>
      </c>
      <c r="H139" s="52" t="s">
        <v>73</v>
      </c>
    </row>
    <row r="140" spans="4:8" x14ac:dyDescent="0.3">
      <c r="D140" s="1" t="s">
        <v>22</v>
      </c>
      <c r="E140" s="53">
        <v>70</v>
      </c>
      <c r="F140" s="1" t="s">
        <v>68</v>
      </c>
      <c r="H140" s="52"/>
    </row>
    <row r="141" spans="4:8" x14ac:dyDescent="0.3">
      <c r="D141" s="1" t="s">
        <v>23</v>
      </c>
      <c r="E141" s="53">
        <v>55</v>
      </c>
      <c r="F141" s="1" t="s">
        <v>68</v>
      </c>
      <c r="H141" s="37"/>
    </row>
    <row r="142" spans="4:8" x14ac:dyDescent="0.3">
      <c r="D142" s="1" t="s">
        <v>24</v>
      </c>
      <c r="E142" s="53">
        <v>45</v>
      </c>
      <c r="F142" s="1" t="s">
        <v>70</v>
      </c>
      <c r="H142" s="54">
        <f>SUMIFS(E140:E149,F140:F149,"klm",E140:E149,"&gt;=50")</f>
        <v>300</v>
      </c>
    </row>
    <row r="143" spans="4:8" x14ac:dyDescent="0.3">
      <c r="D143" s="1" t="s">
        <v>25</v>
      </c>
      <c r="E143" s="53">
        <v>65</v>
      </c>
      <c r="F143" s="1" t="s">
        <v>70</v>
      </c>
      <c r="H143" s="55"/>
    </row>
    <row r="144" spans="4:8" x14ac:dyDescent="0.3">
      <c r="D144" s="1" t="s">
        <v>26</v>
      </c>
      <c r="E144" s="53">
        <v>63</v>
      </c>
      <c r="F144" s="1" t="s">
        <v>68</v>
      </c>
      <c r="H144" s="56"/>
    </row>
    <row r="145" spans="4:6" x14ac:dyDescent="0.3">
      <c r="D145" s="1" t="s">
        <v>27</v>
      </c>
      <c r="E145" s="53">
        <v>54</v>
      </c>
      <c r="F145" s="1" t="s">
        <v>68</v>
      </c>
    </row>
    <row r="146" spans="4:6" x14ac:dyDescent="0.3">
      <c r="D146" s="1" t="s">
        <v>28</v>
      </c>
      <c r="E146" s="53">
        <v>85</v>
      </c>
      <c r="F146" s="1" t="s">
        <v>69</v>
      </c>
    </row>
    <row r="147" spans="4:6" x14ac:dyDescent="0.3">
      <c r="D147" s="1" t="s">
        <v>29</v>
      </c>
      <c r="E147" s="53">
        <v>56</v>
      </c>
      <c r="F147" s="1" t="s">
        <v>70</v>
      </c>
    </row>
    <row r="148" spans="4:6" x14ac:dyDescent="0.3">
      <c r="D148" s="1" t="s">
        <v>37</v>
      </c>
      <c r="E148" s="57">
        <v>12</v>
      </c>
      <c r="F148" s="1" t="s">
        <v>69</v>
      </c>
    </row>
    <row r="149" spans="4:6" x14ac:dyDescent="0.3">
      <c r="D149" s="1" t="s">
        <v>26</v>
      </c>
      <c r="E149" s="57">
        <v>58</v>
      </c>
      <c r="F149" s="1" t="s">
        <v>68</v>
      </c>
    </row>
  </sheetData>
  <mergeCells count="36">
    <mergeCell ref="D137:H137"/>
    <mergeCell ref="H139:H140"/>
    <mergeCell ref="H142:H144"/>
    <mergeCell ref="D110:H111"/>
    <mergeCell ref="D113:H113"/>
    <mergeCell ref="G116:G125"/>
    <mergeCell ref="H116:H125"/>
    <mergeCell ref="I116:I125"/>
    <mergeCell ref="D134:H135"/>
    <mergeCell ref="D65:J66"/>
    <mergeCell ref="D68:J69"/>
    <mergeCell ref="I75:L76"/>
    <mergeCell ref="D94:I95"/>
    <mergeCell ref="G99:G103"/>
    <mergeCell ref="H99:H103"/>
    <mergeCell ref="D31:K32"/>
    <mergeCell ref="G35:G42"/>
    <mergeCell ref="D47:K48"/>
    <mergeCell ref="D50:K50"/>
    <mergeCell ref="I55:K57"/>
    <mergeCell ref="I60:K62"/>
    <mergeCell ref="E61:F61"/>
    <mergeCell ref="C15:H15"/>
    <mergeCell ref="C17:G17"/>
    <mergeCell ref="D19:D20"/>
    <mergeCell ref="E19:E20"/>
    <mergeCell ref="F19:F20"/>
    <mergeCell ref="E21:E28"/>
    <mergeCell ref="F21:F28"/>
    <mergeCell ref="H28:J28"/>
    <mergeCell ref="E2:F2"/>
    <mergeCell ref="D3:G3"/>
    <mergeCell ref="D11:F11"/>
    <mergeCell ref="I11:K11"/>
    <mergeCell ref="E13:F14"/>
    <mergeCell ref="I13:K14"/>
  </mergeCells>
  <pageMargins left="0.7" right="0.7" top="0.75" bottom="0.75" header="0.3" footer="0.3"/>
  <pageSetup paperSize="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Arithmetic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adhi rex</dc:creator>
  <cp:lastModifiedBy>adhi rex</cp:lastModifiedBy>
  <dcterms:created xsi:type="dcterms:W3CDTF">2026-05-20T02:49:20Z</dcterms:created>
  <dcterms:modified xsi:type="dcterms:W3CDTF">2026-05-20T02:51:13Z</dcterms:modified>
</cp:coreProperties>
</file>